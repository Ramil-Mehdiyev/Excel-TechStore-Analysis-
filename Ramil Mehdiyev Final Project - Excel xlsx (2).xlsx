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codeName="ThisWorkbook" defaultThemeVersion="166925"/>
  <mc:AlternateContent xmlns:mc="http://schemas.openxmlformats.org/markup-compatibility/2006">
    <mc:Choice Requires="x15">
      <x15ac:absPath xmlns:x15ac="http://schemas.microsoft.com/office/spreadsheetml/2010/11/ac" url="/Users/mac/Downloads/"/>
    </mc:Choice>
  </mc:AlternateContent>
  <xr:revisionPtr revIDLastSave="0" documentId="13_ncr:1_{BAC0D120-6AAE-7B40-8765-4B2220077404}" xr6:coauthVersionLast="47" xr6:coauthVersionMax="47" xr10:uidLastSave="{00000000-0000-0000-0000-000000000000}"/>
  <bookViews>
    <workbookView xWindow="0" yWindow="680" windowWidth="34200" windowHeight="21460" activeTab="2" xr2:uid="{F65C1D5F-162C-4EFE-B521-86E4232A4583}"/>
  </bookViews>
  <sheets>
    <sheet name="Data" sheetId="1" r:id="rId1"/>
    <sheet name="Anbar" sheetId="2" r:id="rId2"/>
    <sheet name="Pivot Table" sheetId="3" r:id="rId3"/>
  </sheets>
  <definedNames>
    <definedName name="_xlnm._FilterDatabase" localSheetId="0" hidden="1">Data!$A$1:$I$1001</definedName>
    <definedName name="NativeTimeline_Tarix">#N/A</definedName>
    <definedName name="Slicer_Filial">#N/A</definedName>
  </definedNames>
  <calcPr calcId="191029"/>
  <pivotCaches>
    <pivotCache cacheId="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V11" i="1" l="1"/>
  <c r="V10"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2" i="1"/>
  <c r="P3" i="1"/>
  <c r="P4" i="1"/>
  <c r="P5" i="1"/>
  <c r="P6" i="1"/>
  <c r="P7" i="1"/>
  <c r="P9" i="1"/>
  <c r="P12" i="1"/>
  <c r="P13" i="1"/>
  <c r="P15" i="1"/>
  <c r="P16" i="1"/>
  <c r="P17" i="1"/>
  <c r="P18" i="1"/>
  <c r="P19" i="1"/>
  <c r="P20" i="1"/>
  <c r="P21" i="1"/>
  <c r="P23" i="1"/>
  <c r="P25" i="1"/>
  <c r="P26" i="1"/>
  <c r="P27" i="1"/>
  <c r="P28" i="1"/>
  <c r="P29" i="1"/>
  <c r="P30" i="1"/>
  <c r="P31" i="1"/>
  <c r="P32" i="1"/>
  <c r="P34" i="1"/>
  <c r="P35" i="1"/>
  <c r="P36" i="1"/>
  <c r="P37" i="1"/>
  <c r="P39" i="1"/>
  <c r="P41" i="1"/>
  <c r="P43" i="1"/>
  <c r="P44" i="1"/>
  <c r="P45" i="1"/>
  <c r="P46" i="1"/>
  <c r="P47" i="1"/>
  <c r="P48" i="1"/>
  <c r="P49" i="1"/>
  <c r="P50" i="1"/>
  <c r="P51" i="1"/>
  <c r="P52" i="1"/>
  <c r="P53" i="1"/>
  <c r="P54" i="1"/>
  <c r="P55" i="1"/>
  <c r="P56" i="1"/>
  <c r="P59" i="1"/>
  <c r="P60" i="1"/>
  <c r="P61" i="1"/>
  <c r="P63" i="1"/>
  <c r="P64" i="1"/>
  <c r="P66" i="1"/>
  <c r="P67" i="1"/>
  <c r="P68" i="1"/>
  <c r="P69" i="1"/>
  <c r="P70" i="1"/>
  <c r="P71" i="1"/>
  <c r="P75" i="1"/>
  <c r="P76" i="1"/>
  <c r="P77" i="1"/>
  <c r="P78" i="1"/>
  <c r="P80" i="1"/>
  <c r="P81" i="1"/>
  <c r="P82" i="1"/>
  <c r="P83" i="1"/>
  <c r="P84" i="1"/>
  <c r="P85" i="1"/>
  <c r="P86" i="1"/>
  <c r="P87" i="1"/>
  <c r="P89" i="1"/>
  <c r="P90" i="1"/>
  <c r="P91" i="1"/>
  <c r="P92" i="1"/>
  <c r="P94" i="1"/>
  <c r="P95" i="1"/>
  <c r="P96" i="1"/>
  <c r="P97" i="1"/>
  <c r="P98" i="1"/>
  <c r="P99" i="1"/>
  <c r="P100" i="1"/>
  <c r="P101" i="1"/>
  <c r="P102" i="1"/>
  <c r="P103" i="1"/>
  <c r="P104" i="1"/>
  <c r="P106" i="1"/>
  <c r="P107" i="1"/>
  <c r="P108" i="1"/>
  <c r="P109" i="1"/>
  <c r="P110" i="1"/>
  <c r="P112" i="1"/>
  <c r="P113" i="1"/>
  <c r="P114" i="1"/>
  <c r="P115" i="1"/>
  <c r="P116" i="1"/>
  <c r="P117" i="1"/>
  <c r="P118" i="1"/>
  <c r="P119" i="1"/>
  <c r="P120" i="1"/>
  <c r="P121" i="1"/>
  <c r="P122" i="1"/>
  <c r="P124" i="1"/>
  <c r="P126" i="1"/>
  <c r="P127" i="1"/>
  <c r="P128" i="1"/>
  <c r="P130" i="1"/>
  <c r="P131" i="1"/>
  <c r="P132" i="1"/>
  <c r="P134" i="1"/>
  <c r="P135" i="1"/>
  <c r="P136" i="1"/>
  <c r="P137" i="1"/>
  <c r="P138" i="1"/>
  <c r="P140" i="1"/>
  <c r="P141" i="1"/>
  <c r="P143" i="1"/>
  <c r="P144" i="1"/>
  <c r="P145" i="1"/>
  <c r="P147" i="1"/>
  <c r="P148" i="1"/>
  <c r="P151" i="1"/>
  <c r="P152" i="1"/>
  <c r="P153" i="1"/>
  <c r="P154" i="1"/>
  <c r="P155" i="1"/>
  <c r="P156" i="1"/>
  <c r="P159" i="1"/>
  <c r="P160" i="1"/>
  <c r="P161" i="1"/>
  <c r="P162" i="1"/>
  <c r="P164" i="1"/>
  <c r="P165" i="1"/>
  <c r="P166" i="1"/>
  <c r="P167" i="1"/>
  <c r="P169" i="1"/>
  <c r="P170" i="1"/>
  <c r="P171" i="1"/>
  <c r="P172" i="1"/>
  <c r="P174" i="1"/>
  <c r="P176" i="1"/>
  <c r="P178" i="1"/>
  <c r="P179" i="1"/>
  <c r="P180" i="1"/>
  <c r="P181" i="1"/>
  <c r="P183" i="1"/>
  <c r="P187" i="1"/>
  <c r="P188" i="1"/>
  <c r="P189" i="1"/>
  <c r="P190" i="1"/>
  <c r="P191" i="1"/>
  <c r="P192" i="1"/>
  <c r="P194" i="1"/>
  <c r="P195" i="1"/>
  <c r="P196" i="1"/>
  <c r="P197" i="1"/>
  <c r="P198" i="1"/>
  <c r="P199" i="1"/>
  <c r="P200" i="1"/>
  <c r="P201" i="1"/>
  <c r="P202" i="1"/>
  <c r="P203" i="1"/>
  <c r="P204" i="1"/>
  <c r="P206" i="1"/>
  <c r="P207" i="1"/>
  <c r="P208" i="1"/>
  <c r="P210" i="1"/>
  <c r="P211" i="1"/>
  <c r="P212" i="1"/>
  <c r="P213" i="1"/>
  <c r="P214" i="1"/>
  <c r="P215" i="1"/>
  <c r="P216" i="1"/>
  <c r="P217" i="1"/>
  <c r="P218" i="1"/>
  <c r="P219" i="1"/>
  <c r="P220" i="1"/>
  <c r="P221" i="1"/>
  <c r="P222" i="1"/>
  <c r="P223" i="1"/>
  <c r="P224" i="1"/>
  <c r="P225" i="1"/>
  <c r="P226" i="1"/>
  <c r="P227" i="1"/>
  <c r="P228" i="1"/>
  <c r="P229" i="1"/>
  <c r="P232" i="1"/>
  <c r="P233" i="1"/>
  <c r="P234" i="1"/>
  <c r="P235" i="1"/>
  <c r="P236" i="1"/>
  <c r="P237" i="1"/>
  <c r="P238" i="1"/>
  <c r="P239" i="1"/>
  <c r="P240" i="1"/>
  <c r="P241" i="1"/>
  <c r="P242" i="1"/>
  <c r="P243" i="1"/>
  <c r="P244" i="1"/>
  <c r="P245" i="1"/>
  <c r="P246" i="1"/>
  <c r="P248" i="1"/>
  <c r="P249" i="1"/>
  <c r="P250" i="1"/>
  <c r="P251" i="1"/>
  <c r="P252" i="1"/>
  <c r="P253" i="1"/>
  <c r="P254" i="1"/>
  <c r="P256" i="1"/>
  <c r="P257" i="1"/>
  <c r="P259" i="1"/>
  <c r="P261" i="1"/>
  <c r="P262" i="1"/>
  <c r="P264" i="1"/>
  <c r="P265" i="1"/>
  <c r="P266" i="1"/>
  <c r="P267" i="1"/>
  <c r="P268" i="1"/>
  <c r="P270" i="1"/>
  <c r="P271" i="1"/>
  <c r="P273" i="1"/>
  <c r="P274" i="1"/>
  <c r="P279" i="1"/>
  <c r="P280" i="1"/>
  <c r="P283" i="1"/>
  <c r="P284" i="1"/>
  <c r="P285" i="1"/>
  <c r="P286" i="1"/>
  <c r="P287" i="1"/>
  <c r="P289" i="1"/>
  <c r="P290" i="1"/>
  <c r="P291" i="1"/>
  <c r="P292" i="1"/>
  <c r="P293" i="1"/>
  <c r="P294" i="1"/>
  <c r="P295" i="1"/>
  <c r="P296" i="1"/>
  <c r="P298" i="1"/>
  <c r="P300" i="1"/>
  <c r="P301" i="1"/>
  <c r="P302" i="1"/>
  <c r="P303" i="1"/>
  <c r="P304" i="1"/>
  <c r="P306" i="1"/>
  <c r="P307" i="1"/>
  <c r="P308" i="1"/>
  <c r="P309" i="1"/>
  <c r="P312" i="1"/>
  <c r="P314" i="1"/>
  <c r="P315" i="1"/>
  <c r="P316" i="1"/>
  <c r="P317" i="1"/>
  <c r="P318" i="1"/>
  <c r="P319" i="1"/>
  <c r="P322" i="1"/>
  <c r="P323" i="1"/>
  <c r="P324" i="1"/>
  <c r="P325" i="1"/>
  <c r="P326" i="1"/>
  <c r="P327" i="1"/>
  <c r="P328" i="1"/>
  <c r="P329" i="1"/>
  <c r="P330" i="1"/>
  <c r="P331" i="1"/>
  <c r="P332" i="1"/>
  <c r="P333" i="1"/>
  <c r="P334" i="1"/>
  <c r="P335" i="1"/>
  <c r="P336" i="1"/>
  <c r="P338" i="1"/>
  <c r="P339" i="1"/>
  <c r="P340" i="1"/>
  <c r="P342" i="1"/>
  <c r="P343" i="1"/>
  <c r="P344" i="1"/>
  <c r="P345" i="1"/>
  <c r="P346" i="1"/>
  <c r="P347" i="1"/>
  <c r="P348" i="1"/>
  <c r="P349" i="1"/>
  <c r="P350" i="1"/>
  <c r="P351" i="1"/>
  <c r="P352" i="1"/>
  <c r="P353" i="1"/>
  <c r="P354" i="1"/>
  <c r="P356" i="1"/>
  <c r="P357" i="1"/>
  <c r="P358" i="1"/>
  <c r="P359" i="1"/>
  <c r="P360" i="1"/>
  <c r="P361" i="1"/>
  <c r="P362" i="1"/>
  <c r="P363" i="1"/>
  <c r="P364" i="1"/>
  <c r="P365" i="1"/>
  <c r="P367" i="1"/>
  <c r="P368" i="1"/>
  <c r="P369" i="1"/>
  <c r="P370" i="1"/>
  <c r="P371" i="1"/>
  <c r="P372" i="1"/>
  <c r="P373" i="1"/>
  <c r="P374" i="1"/>
  <c r="P377" i="1"/>
  <c r="P378" i="1"/>
  <c r="P380" i="1"/>
  <c r="P382" i="1"/>
  <c r="P383" i="1"/>
  <c r="P384" i="1"/>
  <c r="P385" i="1"/>
  <c r="P386" i="1"/>
  <c r="P387" i="1"/>
  <c r="P388" i="1"/>
  <c r="P389" i="1"/>
  <c r="P390" i="1"/>
  <c r="P391" i="1"/>
  <c r="P392" i="1"/>
  <c r="P393" i="1"/>
  <c r="P394" i="1"/>
  <c r="P395" i="1"/>
  <c r="P396" i="1"/>
  <c r="P397" i="1"/>
  <c r="P398" i="1"/>
  <c r="P399" i="1"/>
  <c r="P401" i="1"/>
  <c r="P402" i="1"/>
  <c r="P403" i="1"/>
  <c r="P404" i="1"/>
  <c r="P405" i="1"/>
  <c r="P406" i="1"/>
  <c r="P407" i="1"/>
  <c r="P408" i="1"/>
  <c r="P409" i="1"/>
  <c r="P410" i="1"/>
  <c r="P412" i="1"/>
  <c r="P413" i="1"/>
  <c r="P414" i="1"/>
  <c r="P415" i="1"/>
  <c r="P418" i="1"/>
  <c r="P419" i="1"/>
  <c r="P420" i="1"/>
  <c r="P421" i="1"/>
  <c r="P422" i="1"/>
  <c r="P423" i="1"/>
  <c r="P424" i="1"/>
  <c r="P428" i="1"/>
  <c r="P431" i="1"/>
  <c r="P433" i="1"/>
  <c r="P434" i="1"/>
  <c r="P435" i="1"/>
  <c r="P436" i="1"/>
  <c r="P437" i="1"/>
  <c r="P438" i="1"/>
  <c r="P440" i="1"/>
  <c r="P443" i="1"/>
  <c r="P444" i="1"/>
  <c r="P445" i="1"/>
  <c r="P448" i="1"/>
  <c r="P449" i="1"/>
  <c r="P450" i="1"/>
  <c r="P451" i="1"/>
  <c r="P454" i="1"/>
  <c r="P455" i="1"/>
  <c r="P457" i="1"/>
  <c r="P459" i="1"/>
  <c r="P462" i="1"/>
  <c r="P463" i="1"/>
  <c r="P464" i="1"/>
  <c r="P465" i="1"/>
  <c r="P466" i="1"/>
  <c r="P468" i="1"/>
  <c r="P470" i="1"/>
  <c r="P471" i="1"/>
  <c r="P472" i="1"/>
  <c r="P473" i="1"/>
  <c r="P474" i="1"/>
  <c r="P475" i="1"/>
  <c r="P476" i="1"/>
  <c r="P478" i="1"/>
  <c r="P479" i="1"/>
  <c r="P481" i="1"/>
  <c r="P482" i="1"/>
  <c r="P483" i="1"/>
  <c r="P484" i="1"/>
  <c r="P485" i="1"/>
  <c r="P486" i="1"/>
  <c r="P488" i="1"/>
  <c r="P490" i="1"/>
  <c r="P491" i="1"/>
  <c r="P492" i="1"/>
  <c r="P493" i="1"/>
  <c r="P494" i="1"/>
  <c r="P495" i="1"/>
  <c r="P496" i="1"/>
  <c r="P498" i="1"/>
  <c r="P499" i="1"/>
  <c r="P500" i="1"/>
  <c r="P501" i="1"/>
  <c r="P504" i="1"/>
  <c r="P505" i="1"/>
  <c r="P506" i="1"/>
  <c r="P507" i="1"/>
  <c r="P508" i="1"/>
  <c r="P509" i="1"/>
  <c r="P510" i="1"/>
  <c r="P511" i="1"/>
  <c r="P513" i="1"/>
  <c r="P514" i="1"/>
  <c r="P515" i="1"/>
  <c r="P516" i="1"/>
  <c r="P517" i="1"/>
  <c r="P518" i="1"/>
  <c r="P519" i="1"/>
  <c r="P520" i="1"/>
  <c r="P521" i="1"/>
  <c r="P522" i="1"/>
  <c r="P523" i="1"/>
  <c r="P524" i="1"/>
  <c r="P525" i="1"/>
  <c r="P526" i="1"/>
  <c r="P527" i="1"/>
  <c r="P528" i="1"/>
  <c r="P530" i="1"/>
  <c r="P531" i="1"/>
  <c r="P532" i="1"/>
  <c r="P533" i="1"/>
  <c r="P535" i="1"/>
  <c r="P536" i="1"/>
  <c r="P537" i="1"/>
  <c r="P538" i="1"/>
  <c r="P539" i="1"/>
  <c r="P540" i="1"/>
  <c r="P541" i="1"/>
  <c r="P542" i="1"/>
  <c r="P543" i="1"/>
  <c r="P544" i="1"/>
  <c r="P546" i="1"/>
  <c r="P547" i="1"/>
  <c r="P548" i="1"/>
  <c r="P550" i="1"/>
  <c r="P551" i="1"/>
  <c r="P553" i="1"/>
  <c r="P554" i="1"/>
  <c r="P555" i="1"/>
  <c r="P556" i="1"/>
  <c r="P557" i="1"/>
  <c r="P558" i="1"/>
  <c r="P559" i="1"/>
  <c r="P560" i="1"/>
  <c r="P561" i="1"/>
  <c r="P562" i="1"/>
  <c r="P563" i="1"/>
  <c r="P564" i="1"/>
  <c r="P566" i="1"/>
  <c r="P567" i="1"/>
  <c r="P568" i="1"/>
  <c r="P569" i="1"/>
  <c r="P570" i="1"/>
  <c r="P571" i="1"/>
  <c r="P572" i="1"/>
  <c r="P573" i="1"/>
  <c r="P574" i="1"/>
  <c r="P575" i="1"/>
  <c r="P577" i="1"/>
  <c r="P578" i="1"/>
  <c r="P579" i="1"/>
  <c r="P580" i="1"/>
  <c r="P583" i="1"/>
  <c r="P585" i="1"/>
  <c r="P586" i="1"/>
  <c r="P587" i="1"/>
  <c r="P588" i="1"/>
  <c r="P589" i="1"/>
  <c r="P590" i="1"/>
  <c r="P591" i="1"/>
  <c r="P592" i="1"/>
  <c r="P593" i="1"/>
  <c r="P595" i="1"/>
  <c r="P598" i="1"/>
  <c r="P599" i="1"/>
  <c r="P600" i="1"/>
  <c r="P601" i="1"/>
  <c r="P603" i="1"/>
  <c r="P604" i="1"/>
  <c r="P605" i="1"/>
  <c r="P606" i="1"/>
  <c r="P607" i="1"/>
  <c r="P608" i="1"/>
  <c r="P609" i="1"/>
  <c r="P610" i="1"/>
  <c r="P612" i="1"/>
  <c r="P613" i="1"/>
  <c r="P615" i="1"/>
  <c r="P618" i="1"/>
  <c r="P619" i="1"/>
  <c r="P620" i="1"/>
  <c r="P621" i="1"/>
  <c r="P622" i="1"/>
  <c r="P623" i="1"/>
  <c r="P626" i="1"/>
  <c r="P627" i="1"/>
  <c r="P628" i="1"/>
  <c r="P629" i="1"/>
  <c r="P630" i="1"/>
  <c r="P631" i="1"/>
  <c r="P632" i="1"/>
  <c r="P633" i="1"/>
  <c r="P636" i="1"/>
  <c r="P637" i="1"/>
  <c r="P639" i="1"/>
  <c r="P640" i="1"/>
  <c r="P641" i="1"/>
  <c r="P642" i="1"/>
  <c r="P643" i="1"/>
  <c r="P644" i="1"/>
  <c r="P646" i="1"/>
  <c r="P647" i="1"/>
  <c r="P648" i="1"/>
  <c r="P650" i="1"/>
  <c r="P653" i="1"/>
  <c r="P655" i="1"/>
  <c r="P657" i="1"/>
  <c r="P658" i="1"/>
  <c r="P659" i="1"/>
  <c r="P660" i="1"/>
  <c r="P661" i="1"/>
  <c r="P662" i="1"/>
  <c r="P664" i="1"/>
  <c r="P666" i="1"/>
  <c r="P667" i="1"/>
  <c r="P668" i="1"/>
  <c r="P669" i="1"/>
  <c r="P670" i="1"/>
  <c r="P671" i="1"/>
  <c r="P672" i="1"/>
  <c r="P674" i="1"/>
  <c r="P675" i="1"/>
  <c r="P676" i="1"/>
  <c r="P677" i="1"/>
  <c r="P679" i="1"/>
  <c r="P680" i="1"/>
  <c r="P681" i="1"/>
  <c r="P683" i="1"/>
  <c r="P684" i="1"/>
  <c r="P686" i="1"/>
  <c r="P687" i="1"/>
  <c r="P688" i="1"/>
  <c r="P689" i="1"/>
  <c r="P690" i="1"/>
  <c r="P691" i="1"/>
  <c r="P692" i="1"/>
  <c r="P693" i="1"/>
  <c r="P694" i="1"/>
  <c r="P695" i="1"/>
  <c r="P697" i="1"/>
  <c r="P698" i="1"/>
  <c r="P699" i="1"/>
  <c r="P700" i="1"/>
  <c r="P702" i="1"/>
  <c r="P703" i="1"/>
  <c r="P704" i="1"/>
  <c r="P705" i="1"/>
  <c r="P707" i="1"/>
  <c r="P708" i="1"/>
  <c r="P709" i="1"/>
  <c r="P710" i="1"/>
  <c r="P712" i="1"/>
  <c r="P713" i="1"/>
  <c r="P714" i="1"/>
  <c r="P715" i="1"/>
  <c r="P716" i="1"/>
  <c r="P717" i="1"/>
  <c r="P719" i="1"/>
  <c r="P720" i="1"/>
  <c r="P721" i="1"/>
  <c r="P723" i="1"/>
  <c r="P724" i="1"/>
  <c r="P725" i="1"/>
  <c r="P728" i="1"/>
  <c r="P729" i="1"/>
  <c r="P731" i="1"/>
  <c r="P732" i="1"/>
  <c r="P733" i="1"/>
  <c r="P735" i="1"/>
  <c r="P736" i="1"/>
  <c r="P737" i="1"/>
  <c r="P738" i="1"/>
  <c r="P739" i="1"/>
  <c r="P741" i="1"/>
  <c r="P742" i="1"/>
  <c r="P743" i="1"/>
  <c r="P744" i="1"/>
  <c r="P745" i="1"/>
  <c r="P746" i="1"/>
  <c r="P747" i="1"/>
  <c r="P748" i="1"/>
  <c r="P750" i="1"/>
  <c r="P752" i="1"/>
  <c r="P753" i="1"/>
  <c r="P755" i="1"/>
  <c r="P756" i="1"/>
  <c r="P757" i="1"/>
  <c r="P758" i="1"/>
  <c r="P759" i="1"/>
  <c r="P760" i="1"/>
  <c r="P761" i="1"/>
  <c r="P763" i="1"/>
  <c r="P764" i="1"/>
  <c r="P766" i="1"/>
  <c r="P769" i="1"/>
  <c r="P771" i="1"/>
  <c r="P772" i="1"/>
  <c r="P773" i="1"/>
  <c r="P774" i="1"/>
  <c r="P775" i="1"/>
  <c r="P776" i="1"/>
  <c r="P777" i="1"/>
  <c r="P778" i="1"/>
  <c r="P779" i="1"/>
  <c r="P780" i="1"/>
  <c r="P781" i="1"/>
  <c r="P782" i="1"/>
  <c r="P783" i="1"/>
  <c r="P784" i="1"/>
  <c r="P785" i="1"/>
  <c r="P787" i="1"/>
  <c r="P789" i="1"/>
  <c r="P790" i="1"/>
  <c r="P791" i="1"/>
  <c r="P793" i="1"/>
  <c r="P794" i="1"/>
  <c r="P795" i="1"/>
  <c r="P797" i="1"/>
  <c r="P798" i="1"/>
  <c r="P799" i="1"/>
  <c r="P800" i="1"/>
  <c r="P801" i="1"/>
  <c r="P802" i="1"/>
  <c r="P803"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3" i="1"/>
  <c r="P834" i="1"/>
  <c r="P835" i="1"/>
  <c r="P836" i="1"/>
  <c r="P838" i="1"/>
  <c r="P839" i="1"/>
  <c r="P840" i="1"/>
  <c r="P841" i="1"/>
  <c r="P842" i="1"/>
  <c r="P843" i="1"/>
  <c r="P844" i="1"/>
  <c r="P845" i="1"/>
  <c r="P847" i="1"/>
  <c r="P848" i="1"/>
  <c r="P849" i="1"/>
  <c r="P850" i="1"/>
  <c r="P851" i="1"/>
  <c r="P852" i="1"/>
  <c r="P853" i="1"/>
  <c r="P854" i="1"/>
  <c r="P855" i="1"/>
  <c r="P857" i="1"/>
  <c r="P858" i="1"/>
  <c r="P859" i="1"/>
  <c r="P860" i="1"/>
  <c r="P861" i="1"/>
  <c r="P862" i="1"/>
  <c r="P863" i="1"/>
  <c r="P864" i="1"/>
  <c r="P866" i="1"/>
  <c r="P867" i="1"/>
  <c r="P869" i="1"/>
  <c r="P870" i="1"/>
  <c r="P871" i="1"/>
  <c r="P873" i="1"/>
  <c r="P874" i="1"/>
  <c r="P875" i="1"/>
  <c r="P877" i="1"/>
  <c r="P878" i="1"/>
  <c r="P879" i="1"/>
  <c r="P884" i="1"/>
  <c r="P885" i="1"/>
  <c r="P886" i="1"/>
  <c r="P887" i="1"/>
  <c r="P888" i="1"/>
  <c r="P890" i="1"/>
  <c r="P891" i="1"/>
  <c r="P892" i="1"/>
  <c r="P893" i="1"/>
  <c r="P894" i="1"/>
  <c r="P895" i="1"/>
  <c r="P896" i="1"/>
  <c r="P897" i="1"/>
  <c r="P898" i="1"/>
  <c r="P899" i="1"/>
  <c r="P900" i="1"/>
  <c r="P901" i="1"/>
  <c r="P902" i="1"/>
  <c r="P903" i="1"/>
  <c r="P904" i="1"/>
  <c r="P905" i="1"/>
  <c r="P906" i="1"/>
  <c r="P907" i="1"/>
  <c r="P908" i="1"/>
  <c r="P909" i="1"/>
  <c r="P911" i="1"/>
  <c r="P912" i="1"/>
  <c r="P913"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2" i="1"/>
  <c r="M3" i="1"/>
  <c r="M4" i="1"/>
  <c r="M5" i="1"/>
  <c r="M6" i="1"/>
  <c r="M7" i="1"/>
  <c r="N7" i="1" s="1"/>
  <c r="M8" i="1"/>
  <c r="P8" i="1" s="1"/>
  <c r="M9" i="1"/>
  <c r="M10" i="1"/>
  <c r="P10" i="1" s="1"/>
  <c r="M11" i="1"/>
  <c r="P11" i="1" s="1"/>
  <c r="M12" i="1"/>
  <c r="M13" i="1"/>
  <c r="M14" i="1"/>
  <c r="P14" i="1" s="1"/>
  <c r="M15" i="1"/>
  <c r="N15" i="1" s="1"/>
  <c r="M16" i="1"/>
  <c r="M17" i="1"/>
  <c r="M18" i="1"/>
  <c r="M19" i="1"/>
  <c r="M20" i="1"/>
  <c r="M21" i="1"/>
  <c r="M22" i="1"/>
  <c r="P22" i="1" s="1"/>
  <c r="M23" i="1"/>
  <c r="M24" i="1"/>
  <c r="P24" i="1" s="1"/>
  <c r="M25" i="1"/>
  <c r="M26" i="1"/>
  <c r="M27" i="1"/>
  <c r="M28" i="1"/>
  <c r="M29" i="1"/>
  <c r="M30" i="1"/>
  <c r="M31" i="1"/>
  <c r="N31" i="1" s="1"/>
  <c r="M32" i="1"/>
  <c r="N32" i="1" s="1"/>
  <c r="M33" i="1"/>
  <c r="P33" i="1" s="1"/>
  <c r="M34" i="1"/>
  <c r="M35" i="1"/>
  <c r="M36" i="1"/>
  <c r="M37" i="1"/>
  <c r="M38" i="1"/>
  <c r="P38" i="1" s="1"/>
  <c r="M39" i="1"/>
  <c r="M40" i="1"/>
  <c r="P40" i="1" s="1"/>
  <c r="M41" i="1"/>
  <c r="M42" i="1"/>
  <c r="P42" i="1" s="1"/>
  <c r="M43" i="1"/>
  <c r="M44" i="1"/>
  <c r="M45" i="1"/>
  <c r="M46" i="1"/>
  <c r="M47" i="1"/>
  <c r="M48" i="1"/>
  <c r="M49" i="1"/>
  <c r="M50" i="1"/>
  <c r="M51" i="1"/>
  <c r="M52" i="1"/>
  <c r="M53" i="1"/>
  <c r="M54" i="1"/>
  <c r="M55" i="1"/>
  <c r="N55" i="1" s="1"/>
  <c r="M56" i="1"/>
  <c r="N56" i="1" s="1"/>
  <c r="M57" i="1"/>
  <c r="N57" i="1" s="1"/>
  <c r="M58" i="1"/>
  <c r="P58" i="1" s="1"/>
  <c r="M59" i="1"/>
  <c r="M60" i="1"/>
  <c r="M61" i="1"/>
  <c r="M62" i="1"/>
  <c r="P62" i="1" s="1"/>
  <c r="M63" i="1"/>
  <c r="M64" i="1"/>
  <c r="M65" i="1"/>
  <c r="P65" i="1" s="1"/>
  <c r="M66" i="1"/>
  <c r="M67" i="1"/>
  <c r="M68" i="1"/>
  <c r="M69" i="1"/>
  <c r="M70" i="1"/>
  <c r="M71" i="1"/>
  <c r="M72" i="1"/>
  <c r="P72" i="1" s="1"/>
  <c r="M73" i="1"/>
  <c r="P73" i="1" s="1"/>
  <c r="M74" i="1"/>
  <c r="P74" i="1" s="1"/>
  <c r="M75" i="1"/>
  <c r="M76" i="1"/>
  <c r="M77" i="1"/>
  <c r="M78" i="1"/>
  <c r="M79" i="1"/>
  <c r="N79" i="1" s="1"/>
  <c r="M80" i="1"/>
  <c r="N80" i="1" s="1"/>
  <c r="M81" i="1"/>
  <c r="N81" i="1" s="1"/>
  <c r="M82" i="1"/>
  <c r="N82" i="1" s="1"/>
  <c r="M83" i="1"/>
  <c r="M84" i="1"/>
  <c r="M85" i="1"/>
  <c r="M86" i="1"/>
  <c r="M87" i="1"/>
  <c r="M88" i="1"/>
  <c r="P88" i="1" s="1"/>
  <c r="M89" i="1"/>
  <c r="M90" i="1"/>
  <c r="M91" i="1"/>
  <c r="M92" i="1"/>
  <c r="M93" i="1"/>
  <c r="P93" i="1" s="1"/>
  <c r="M94" i="1"/>
  <c r="M95" i="1"/>
  <c r="M96" i="1"/>
  <c r="M97" i="1"/>
  <c r="M98" i="1"/>
  <c r="M99" i="1"/>
  <c r="M100" i="1"/>
  <c r="M101" i="1"/>
  <c r="M102" i="1"/>
  <c r="M103" i="1"/>
  <c r="M104" i="1"/>
  <c r="M105" i="1"/>
  <c r="P105" i="1" s="1"/>
  <c r="M106" i="1"/>
  <c r="M107" i="1"/>
  <c r="M108" i="1"/>
  <c r="M109" i="1"/>
  <c r="M110" i="1"/>
  <c r="M111" i="1"/>
  <c r="P111" i="1" s="1"/>
  <c r="M112" i="1"/>
  <c r="M113" i="1"/>
  <c r="M114" i="1"/>
  <c r="M115" i="1"/>
  <c r="M116" i="1"/>
  <c r="M117" i="1"/>
  <c r="M118" i="1"/>
  <c r="M119" i="1"/>
  <c r="M120" i="1"/>
  <c r="M121" i="1"/>
  <c r="M122" i="1"/>
  <c r="M123" i="1"/>
  <c r="P123" i="1" s="1"/>
  <c r="M124" i="1"/>
  <c r="M125" i="1"/>
  <c r="P125" i="1" s="1"/>
  <c r="M126" i="1"/>
  <c r="M127" i="1"/>
  <c r="M128" i="1"/>
  <c r="M129" i="1"/>
  <c r="P129" i="1" s="1"/>
  <c r="M130" i="1"/>
  <c r="M131" i="1"/>
  <c r="M132" i="1"/>
  <c r="M133" i="1"/>
  <c r="P133" i="1" s="1"/>
  <c r="M134" i="1"/>
  <c r="M135" i="1"/>
  <c r="N135" i="1" s="1"/>
  <c r="M136" i="1"/>
  <c r="M137" i="1"/>
  <c r="M138" i="1"/>
  <c r="M139" i="1"/>
  <c r="P139" i="1" s="1"/>
  <c r="M140" i="1"/>
  <c r="M141" i="1"/>
  <c r="M142" i="1"/>
  <c r="P142" i="1" s="1"/>
  <c r="M143" i="1"/>
  <c r="M144" i="1"/>
  <c r="M145" i="1"/>
  <c r="M146" i="1"/>
  <c r="P146" i="1" s="1"/>
  <c r="M147" i="1"/>
  <c r="M148" i="1"/>
  <c r="M149" i="1"/>
  <c r="P149" i="1" s="1"/>
  <c r="M150" i="1"/>
  <c r="P150" i="1" s="1"/>
  <c r="M151" i="1"/>
  <c r="M152" i="1"/>
  <c r="M153" i="1"/>
  <c r="M154" i="1"/>
  <c r="M155" i="1"/>
  <c r="M156" i="1"/>
  <c r="M157" i="1"/>
  <c r="P157" i="1" s="1"/>
  <c r="M158" i="1"/>
  <c r="P158" i="1" s="1"/>
  <c r="M159" i="1"/>
  <c r="N159" i="1" s="1"/>
  <c r="M160" i="1"/>
  <c r="N160" i="1" s="1"/>
  <c r="M161" i="1"/>
  <c r="M162" i="1"/>
  <c r="M163" i="1"/>
  <c r="P163" i="1" s="1"/>
  <c r="M164" i="1"/>
  <c r="M165" i="1"/>
  <c r="M166" i="1"/>
  <c r="M167" i="1"/>
  <c r="M168" i="1"/>
  <c r="P168" i="1" s="1"/>
  <c r="M169" i="1"/>
  <c r="M170" i="1"/>
  <c r="M171" i="1"/>
  <c r="M172" i="1"/>
  <c r="M173" i="1"/>
  <c r="P173" i="1" s="1"/>
  <c r="M174" i="1"/>
  <c r="M175" i="1"/>
  <c r="P175" i="1" s="1"/>
  <c r="M176" i="1"/>
  <c r="M177" i="1"/>
  <c r="P177" i="1" s="1"/>
  <c r="M178" i="1"/>
  <c r="M179" i="1"/>
  <c r="M180" i="1"/>
  <c r="M181" i="1"/>
  <c r="M182" i="1"/>
  <c r="P182" i="1" s="1"/>
  <c r="M183" i="1"/>
  <c r="N183" i="1" s="1"/>
  <c r="M184" i="1"/>
  <c r="N184" i="1" s="1"/>
  <c r="M185" i="1"/>
  <c r="N185" i="1" s="1"/>
  <c r="M186" i="1"/>
  <c r="P186" i="1" s="1"/>
  <c r="M187" i="1"/>
  <c r="M188" i="1"/>
  <c r="M189" i="1"/>
  <c r="M190" i="1"/>
  <c r="M191" i="1"/>
  <c r="M192" i="1"/>
  <c r="M193" i="1"/>
  <c r="P193" i="1" s="1"/>
  <c r="M194" i="1"/>
  <c r="M195" i="1"/>
  <c r="M196" i="1"/>
  <c r="M197" i="1"/>
  <c r="M198" i="1"/>
  <c r="M199" i="1"/>
  <c r="M200" i="1"/>
  <c r="M201" i="1"/>
  <c r="M202" i="1"/>
  <c r="M203" i="1"/>
  <c r="M204" i="1"/>
  <c r="M205" i="1"/>
  <c r="P205" i="1" s="1"/>
  <c r="M206" i="1"/>
  <c r="M207" i="1"/>
  <c r="N207" i="1" s="1"/>
  <c r="M208" i="1"/>
  <c r="N208" i="1" s="1"/>
  <c r="M209" i="1"/>
  <c r="N209" i="1" s="1"/>
  <c r="M210" i="1"/>
  <c r="N210" i="1" s="1"/>
  <c r="M211" i="1"/>
  <c r="M212" i="1"/>
  <c r="M213" i="1"/>
  <c r="M214" i="1"/>
  <c r="M215" i="1"/>
  <c r="M216" i="1"/>
  <c r="M217" i="1"/>
  <c r="M218" i="1"/>
  <c r="M219" i="1"/>
  <c r="M220" i="1"/>
  <c r="M221" i="1"/>
  <c r="M222" i="1"/>
  <c r="M223" i="1"/>
  <c r="M224" i="1"/>
  <c r="M225" i="1"/>
  <c r="M226" i="1"/>
  <c r="M227" i="1"/>
  <c r="M228" i="1"/>
  <c r="M229" i="1"/>
  <c r="M230" i="1"/>
  <c r="P230" i="1" s="1"/>
  <c r="M231" i="1"/>
  <c r="P231" i="1" s="1"/>
  <c r="M232" i="1"/>
  <c r="M233" i="1"/>
  <c r="M234" i="1"/>
  <c r="M235" i="1"/>
  <c r="M236" i="1"/>
  <c r="M237" i="1"/>
  <c r="M238" i="1"/>
  <c r="M239" i="1"/>
  <c r="M240" i="1"/>
  <c r="M241" i="1"/>
  <c r="M242" i="1"/>
  <c r="M243" i="1"/>
  <c r="M244" i="1"/>
  <c r="M245" i="1"/>
  <c r="M246" i="1"/>
  <c r="M247" i="1"/>
  <c r="P247" i="1" s="1"/>
  <c r="M248" i="1"/>
  <c r="M249" i="1"/>
  <c r="M250" i="1"/>
  <c r="M251" i="1"/>
  <c r="M252" i="1"/>
  <c r="M253" i="1"/>
  <c r="M254" i="1"/>
  <c r="M255" i="1"/>
  <c r="P255" i="1" s="1"/>
  <c r="M256" i="1"/>
  <c r="M257" i="1"/>
  <c r="M258" i="1"/>
  <c r="P258" i="1" s="1"/>
  <c r="M259" i="1"/>
  <c r="M260" i="1"/>
  <c r="P260" i="1" s="1"/>
  <c r="M261" i="1"/>
  <c r="M262" i="1"/>
  <c r="M263" i="1"/>
  <c r="N263" i="1" s="1"/>
  <c r="M264" i="1"/>
  <c r="M265" i="1"/>
  <c r="M266" i="1"/>
  <c r="M267" i="1"/>
  <c r="M268" i="1"/>
  <c r="M269" i="1"/>
  <c r="P269" i="1" s="1"/>
  <c r="M270" i="1"/>
  <c r="M271" i="1"/>
  <c r="M272" i="1"/>
  <c r="P272" i="1" s="1"/>
  <c r="M273" i="1"/>
  <c r="M274" i="1"/>
  <c r="M275" i="1"/>
  <c r="P275" i="1" s="1"/>
  <c r="M276" i="1"/>
  <c r="P276" i="1" s="1"/>
  <c r="M277" i="1"/>
  <c r="P277" i="1" s="1"/>
  <c r="M278" i="1"/>
  <c r="P278" i="1" s="1"/>
  <c r="M279" i="1"/>
  <c r="M280" i="1"/>
  <c r="M281" i="1"/>
  <c r="P281" i="1" s="1"/>
  <c r="M282" i="1"/>
  <c r="P282" i="1" s="1"/>
  <c r="M283" i="1"/>
  <c r="M284" i="1"/>
  <c r="M285" i="1"/>
  <c r="M286" i="1"/>
  <c r="M287" i="1"/>
  <c r="N287" i="1" s="1"/>
  <c r="M288" i="1"/>
  <c r="N288" i="1" s="1"/>
  <c r="M289" i="1"/>
  <c r="M290" i="1"/>
  <c r="M291" i="1"/>
  <c r="M292" i="1"/>
  <c r="M293" i="1"/>
  <c r="M294" i="1"/>
  <c r="M295" i="1"/>
  <c r="M296" i="1"/>
  <c r="M297" i="1"/>
  <c r="P297" i="1" s="1"/>
  <c r="M298" i="1"/>
  <c r="M299" i="1"/>
  <c r="P299" i="1" s="1"/>
  <c r="M300" i="1"/>
  <c r="M301" i="1"/>
  <c r="M302" i="1"/>
  <c r="M303" i="1"/>
  <c r="M304" i="1"/>
  <c r="M305" i="1"/>
  <c r="P305" i="1" s="1"/>
  <c r="M306" i="1"/>
  <c r="M307" i="1"/>
  <c r="M308" i="1"/>
  <c r="M309" i="1"/>
  <c r="M310" i="1"/>
  <c r="P310" i="1" s="1"/>
  <c r="M311" i="1"/>
  <c r="N311" i="1" s="1"/>
  <c r="M312" i="1"/>
  <c r="N312" i="1" s="1"/>
  <c r="M313" i="1"/>
  <c r="N313" i="1" s="1"/>
  <c r="M314" i="1"/>
  <c r="M315" i="1"/>
  <c r="M316" i="1"/>
  <c r="M317" i="1"/>
  <c r="M318" i="1"/>
  <c r="M319" i="1"/>
  <c r="M320" i="1"/>
  <c r="P320" i="1" s="1"/>
  <c r="M321" i="1"/>
  <c r="P321" i="1" s="1"/>
  <c r="M322" i="1"/>
  <c r="M323" i="1"/>
  <c r="M324" i="1"/>
  <c r="M325" i="1"/>
  <c r="M326" i="1"/>
  <c r="M327" i="1"/>
  <c r="M328" i="1"/>
  <c r="M329" i="1"/>
  <c r="M330" i="1"/>
  <c r="M331" i="1"/>
  <c r="M332" i="1"/>
  <c r="M333" i="1"/>
  <c r="M334" i="1"/>
  <c r="M335" i="1"/>
  <c r="M336" i="1"/>
  <c r="N336" i="1" s="1"/>
  <c r="M337" i="1"/>
  <c r="N337" i="1" s="1"/>
  <c r="M338" i="1"/>
  <c r="N338" i="1" s="1"/>
  <c r="M339" i="1"/>
  <c r="M340" i="1"/>
  <c r="M341" i="1"/>
  <c r="P341" i="1" s="1"/>
  <c r="M342" i="1"/>
  <c r="M343" i="1"/>
  <c r="M344" i="1"/>
  <c r="M345" i="1"/>
  <c r="M346" i="1"/>
  <c r="M347" i="1"/>
  <c r="M348" i="1"/>
  <c r="M349" i="1"/>
  <c r="M350" i="1"/>
  <c r="M351" i="1"/>
  <c r="M352" i="1"/>
  <c r="M353" i="1"/>
  <c r="M354" i="1"/>
  <c r="M355" i="1"/>
  <c r="P355" i="1" s="1"/>
  <c r="M356" i="1"/>
  <c r="M357" i="1"/>
  <c r="M358" i="1"/>
  <c r="M359" i="1"/>
  <c r="M360" i="1"/>
  <c r="M361" i="1"/>
  <c r="M362" i="1"/>
  <c r="M363" i="1"/>
  <c r="M364" i="1"/>
  <c r="M365" i="1"/>
  <c r="M366" i="1"/>
  <c r="P366" i="1" s="1"/>
  <c r="M367" i="1"/>
  <c r="M368" i="1"/>
  <c r="M369" i="1"/>
  <c r="M370" i="1"/>
  <c r="M371" i="1"/>
  <c r="M372" i="1"/>
  <c r="M373" i="1"/>
  <c r="M374" i="1"/>
  <c r="M375" i="1"/>
  <c r="P375" i="1" s="1"/>
  <c r="M376" i="1"/>
  <c r="P376" i="1" s="1"/>
  <c r="M377" i="1"/>
  <c r="M378" i="1"/>
  <c r="M379" i="1"/>
  <c r="P379" i="1" s="1"/>
  <c r="M380" i="1"/>
  <c r="M381" i="1"/>
  <c r="P381" i="1" s="1"/>
  <c r="M382" i="1"/>
  <c r="M383" i="1"/>
  <c r="M384" i="1"/>
  <c r="M385" i="1"/>
  <c r="M386" i="1"/>
  <c r="M387" i="1"/>
  <c r="M388" i="1"/>
  <c r="M389" i="1"/>
  <c r="M390" i="1"/>
  <c r="M391" i="1"/>
  <c r="M392" i="1"/>
  <c r="M393" i="1"/>
  <c r="M394" i="1"/>
  <c r="M395" i="1"/>
  <c r="M396" i="1"/>
  <c r="M397" i="1"/>
  <c r="M398" i="1"/>
  <c r="M399" i="1"/>
  <c r="M400" i="1"/>
  <c r="P400" i="1" s="1"/>
  <c r="M401" i="1"/>
  <c r="M402" i="1"/>
  <c r="M403" i="1"/>
  <c r="M404" i="1"/>
  <c r="M405" i="1"/>
  <c r="M406" i="1"/>
  <c r="M407" i="1"/>
  <c r="M408" i="1"/>
  <c r="M409" i="1"/>
  <c r="M410" i="1"/>
  <c r="M411" i="1"/>
  <c r="P411" i="1" s="1"/>
  <c r="M412" i="1"/>
  <c r="M413" i="1"/>
  <c r="M414" i="1"/>
  <c r="M415" i="1"/>
  <c r="M416" i="1"/>
  <c r="P416" i="1" s="1"/>
  <c r="M417" i="1"/>
  <c r="P417" i="1" s="1"/>
  <c r="M418" i="1"/>
  <c r="M419" i="1"/>
  <c r="M420" i="1"/>
  <c r="M421" i="1"/>
  <c r="M422" i="1"/>
  <c r="M423" i="1"/>
  <c r="M424" i="1"/>
  <c r="M425" i="1"/>
  <c r="P425" i="1" s="1"/>
  <c r="M426" i="1"/>
  <c r="P426" i="1" s="1"/>
  <c r="M427" i="1"/>
  <c r="P427" i="1" s="1"/>
  <c r="M428" i="1"/>
  <c r="M429" i="1"/>
  <c r="P429" i="1" s="1"/>
  <c r="M430" i="1"/>
  <c r="P430" i="1" s="1"/>
  <c r="M431" i="1"/>
  <c r="M432" i="1"/>
  <c r="P432" i="1" s="1"/>
  <c r="M433" i="1"/>
  <c r="M434" i="1"/>
  <c r="M435" i="1"/>
  <c r="M436" i="1"/>
  <c r="M437" i="1"/>
  <c r="M438" i="1"/>
  <c r="M439" i="1"/>
  <c r="P439" i="1" s="1"/>
  <c r="M440" i="1"/>
  <c r="M441" i="1"/>
  <c r="P441" i="1" s="1"/>
  <c r="M442" i="1"/>
  <c r="P442" i="1" s="1"/>
  <c r="M443" i="1"/>
  <c r="M444" i="1"/>
  <c r="M445" i="1"/>
  <c r="M446" i="1"/>
  <c r="P446" i="1" s="1"/>
  <c r="M447" i="1"/>
  <c r="P447" i="1" s="1"/>
  <c r="M448" i="1"/>
  <c r="M449" i="1"/>
  <c r="M450" i="1"/>
  <c r="M451" i="1"/>
  <c r="M452" i="1"/>
  <c r="P452" i="1" s="1"/>
  <c r="M453" i="1"/>
  <c r="P453" i="1" s="1"/>
  <c r="M454" i="1"/>
  <c r="M455" i="1"/>
  <c r="M456" i="1"/>
  <c r="P456" i="1" s="1"/>
  <c r="M457" i="1"/>
  <c r="M458" i="1"/>
  <c r="P458" i="1" s="1"/>
  <c r="M459" i="1"/>
  <c r="M460" i="1"/>
  <c r="P460" i="1" s="1"/>
  <c r="M461" i="1"/>
  <c r="P461" i="1" s="1"/>
  <c r="M462" i="1"/>
  <c r="M463" i="1"/>
  <c r="M464" i="1"/>
  <c r="M465" i="1"/>
  <c r="M466" i="1"/>
  <c r="M467" i="1"/>
  <c r="P467" i="1" s="1"/>
  <c r="M468" i="1"/>
  <c r="M469" i="1"/>
  <c r="P469" i="1" s="1"/>
  <c r="M470" i="1"/>
  <c r="M471" i="1"/>
  <c r="M472" i="1"/>
  <c r="M473" i="1"/>
  <c r="M474" i="1"/>
  <c r="M475" i="1"/>
  <c r="M476" i="1"/>
  <c r="M477" i="1"/>
  <c r="P477" i="1" s="1"/>
  <c r="M478" i="1"/>
  <c r="M479" i="1"/>
  <c r="M480" i="1"/>
  <c r="P480" i="1" s="1"/>
  <c r="M481" i="1"/>
  <c r="M482" i="1"/>
  <c r="M483" i="1"/>
  <c r="M484" i="1"/>
  <c r="M485" i="1"/>
  <c r="M486" i="1"/>
  <c r="M487" i="1"/>
  <c r="P487" i="1" s="1"/>
  <c r="M488" i="1"/>
  <c r="M489" i="1"/>
  <c r="P489" i="1" s="1"/>
  <c r="M490" i="1"/>
  <c r="M491" i="1"/>
  <c r="M492" i="1"/>
  <c r="M493" i="1"/>
  <c r="M494" i="1"/>
  <c r="M495" i="1"/>
  <c r="M496" i="1"/>
  <c r="M497" i="1"/>
  <c r="P497" i="1" s="1"/>
  <c r="M498" i="1"/>
  <c r="M499" i="1"/>
  <c r="M500" i="1"/>
  <c r="M501" i="1"/>
  <c r="M502" i="1"/>
  <c r="P502" i="1" s="1"/>
  <c r="M503" i="1"/>
  <c r="P503" i="1" s="1"/>
  <c r="M504" i="1"/>
  <c r="M505" i="1"/>
  <c r="M506" i="1"/>
  <c r="M507" i="1"/>
  <c r="M508" i="1"/>
  <c r="M509" i="1"/>
  <c r="M510" i="1"/>
  <c r="M511" i="1"/>
  <c r="M512" i="1"/>
  <c r="P512" i="1" s="1"/>
  <c r="M513" i="1"/>
  <c r="M514" i="1"/>
  <c r="M515" i="1"/>
  <c r="M516" i="1"/>
  <c r="M517" i="1"/>
  <c r="M518" i="1"/>
  <c r="M519" i="1"/>
  <c r="M520" i="1"/>
  <c r="M521" i="1"/>
  <c r="M522" i="1"/>
  <c r="M523" i="1"/>
  <c r="M524" i="1"/>
  <c r="M525" i="1"/>
  <c r="M526" i="1"/>
  <c r="M527" i="1"/>
  <c r="M528" i="1"/>
  <c r="M529" i="1"/>
  <c r="P529" i="1" s="1"/>
  <c r="M530" i="1"/>
  <c r="M531" i="1"/>
  <c r="M532" i="1"/>
  <c r="M533" i="1"/>
  <c r="M534" i="1"/>
  <c r="P534" i="1" s="1"/>
  <c r="M535" i="1"/>
  <c r="M536" i="1"/>
  <c r="M537" i="1"/>
  <c r="M538" i="1"/>
  <c r="M539" i="1"/>
  <c r="M540" i="1"/>
  <c r="M541" i="1"/>
  <c r="M542" i="1"/>
  <c r="M543" i="1"/>
  <c r="M544" i="1"/>
  <c r="M545" i="1"/>
  <c r="P545" i="1" s="1"/>
  <c r="M546" i="1"/>
  <c r="M547" i="1"/>
  <c r="M548" i="1"/>
  <c r="M549" i="1"/>
  <c r="P549" i="1" s="1"/>
  <c r="M550" i="1"/>
  <c r="M551" i="1"/>
  <c r="M552" i="1"/>
  <c r="P552" i="1" s="1"/>
  <c r="M553" i="1"/>
  <c r="M554" i="1"/>
  <c r="M555" i="1"/>
  <c r="M556" i="1"/>
  <c r="M557" i="1"/>
  <c r="M558" i="1"/>
  <c r="M559" i="1"/>
  <c r="M560" i="1"/>
  <c r="M561" i="1"/>
  <c r="M562" i="1"/>
  <c r="M563" i="1"/>
  <c r="M564" i="1"/>
  <c r="M565" i="1"/>
  <c r="P565" i="1" s="1"/>
  <c r="M566" i="1"/>
  <c r="M567" i="1"/>
  <c r="M568" i="1"/>
  <c r="M569" i="1"/>
  <c r="M570" i="1"/>
  <c r="M571" i="1"/>
  <c r="M572" i="1"/>
  <c r="M573" i="1"/>
  <c r="M574" i="1"/>
  <c r="M575" i="1"/>
  <c r="M576" i="1"/>
  <c r="P576" i="1" s="1"/>
  <c r="M577" i="1"/>
  <c r="M578" i="1"/>
  <c r="M579" i="1"/>
  <c r="M580" i="1"/>
  <c r="M581" i="1"/>
  <c r="P581" i="1" s="1"/>
  <c r="M582" i="1"/>
  <c r="P582" i="1" s="1"/>
  <c r="M583" i="1"/>
  <c r="M584" i="1"/>
  <c r="P584" i="1" s="1"/>
  <c r="M585" i="1"/>
  <c r="M586" i="1"/>
  <c r="M587" i="1"/>
  <c r="M588" i="1"/>
  <c r="M589" i="1"/>
  <c r="M590" i="1"/>
  <c r="M591" i="1"/>
  <c r="M592" i="1"/>
  <c r="M593" i="1"/>
  <c r="M594" i="1"/>
  <c r="P594" i="1" s="1"/>
  <c r="M595" i="1"/>
  <c r="M596" i="1"/>
  <c r="P596" i="1" s="1"/>
  <c r="M597" i="1"/>
  <c r="P597" i="1" s="1"/>
  <c r="M598" i="1"/>
  <c r="M599" i="1"/>
  <c r="M600" i="1"/>
  <c r="M601" i="1"/>
  <c r="M602" i="1"/>
  <c r="P602" i="1" s="1"/>
  <c r="M603" i="1"/>
  <c r="M604" i="1"/>
  <c r="M605" i="1"/>
  <c r="M606" i="1"/>
  <c r="M607" i="1"/>
  <c r="M608" i="1"/>
  <c r="M609" i="1"/>
  <c r="M610" i="1"/>
  <c r="M611" i="1"/>
  <c r="P611" i="1" s="1"/>
  <c r="M612" i="1"/>
  <c r="M613" i="1"/>
  <c r="M614" i="1"/>
  <c r="P614" i="1" s="1"/>
  <c r="M615" i="1"/>
  <c r="M616" i="1"/>
  <c r="P616" i="1" s="1"/>
  <c r="M617" i="1"/>
  <c r="P617" i="1" s="1"/>
  <c r="M618" i="1"/>
  <c r="M619" i="1"/>
  <c r="M620" i="1"/>
  <c r="M621" i="1"/>
  <c r="M622" i="1"/>
  <c r="M623" i="1"/>
  <c r="M624" i="1"/>
  <c r="P624" i="1" s="1"/>
  <c r="M625" i="1"/>
  <c r="P625" i="1" s="1"/>
  <c r="M626" i="1"/>
  <c r="M627" i="1"/>
  <c r="M628" i="1"/>
  <c r="M629" i="1"/>
  <c r="M630" i="1"/>
  <c r="M631" i="1"/>
  <c r="M632" i="1"/>
  <c r="M633" i="1"/>
  <c r="M634" i="1"/>
  <c r="P634" i="1" s="1"/>
  <c r="M635" i="1"/>
  <c r="P635" i="1" s="1"/>
  <c r="M636" i="1"/>
  <c r="M637" i="1"/>
  <c r="M638" i="1"/>
  <c r="P638" i="1" s="1"/>
  <c r="M639" i="1"/>
  <c r="M640" i="1"/>
  <c r="M641" i="1"/>
  <c r="M642" i="1"/>
  <c r="M643" i="1"/>
  <c r="M644" i="1"/>
  <c r="M645" i="1"/>
  <c r="P645" i="1" s="1"/>
  <c r="M646" i="1"/>
  <c r="M647" i="1"/>
  <c r="M648" i="1"/>
  <c r="M649" i="1"/>
  <c r="P649" i="1" s="1"/>
  <c r="M650" i="1"/>
  <c r="M651" i="1"/>
  <c r="P651" i="1" s="1"/>
  <c r="M652" i="1"/>
  <c r="P652" i="1" s="1"/>
  <c r="M653" i="1"/>
  <c r="M654" i="1"/>
  <c r="P654" i="1" s="1"/>
  <c r="M655" i="1"/>
  <c r="M656" i="1"/>
  <c r="P656" i="1" s="1"/>
  <c r="M657" i="1"/>
  <c r="M658" i="1"/>
  <c r="M659" i="1"/>
  <c r="M660" i="1"/>
  <c r="M661" i="1"/>
  <c r="M662" i="1"/>
  <c r="M663" i="1"/>
  <c r="P663" i="1" s="1"/>
  <c r="M664" i="1"/>
  <c r="M665" i="1"/>
  <c r="P665" i="1" s="1"/>
  <c r="M666" i="1"/>
  <c r="M667" i="1"/>
  <c r="M668" i="1"/>
  <c r="M669" i="1"/>
  <c r="M670" i="1"/>
  <c r="M671" i="1"/>
  <c r="M672" i="1"/>
  <c r="M673" i="1"/>
  <c r="P673" i="1" s="1"/>
  <c r="M674" i="1"/>
  <c r="M675" i="1"/>
  <c r="M676" i="1"/>
  <c r="M677" i="1"/>
  <c r="M678" i="1"/>
  <c r="P678" i="1" s="1"/>
  <c r="M679" i="1"/>
  <c r="M680" i="1"/>
  <c r="M681" i="1"/>
  <c r="M682" i="1"/>
  <c r="P682" i="1" s="1"/>
  <c r="M683" i="1"/>
  <c r="M684" i="1"/>
  <c r="M685" i="1"/>
  <c r="P685" i="1" s="1"/>
  <c r="M686" i="1"/>
  <c r="M687" i="1"/>
  <c r="M688" i="1"/>
  <c r="M689" i="1"/>
  <c r="M690" i="1"/>
  <c r="M691" i="1"/>
  <c r="M692" i="1"/>
  <c r="M693" i="1"/>
  <c r="M694" i="1"/>
  <c r="M695" i="1"/>
  <c r="M696" i="1"/>
  <c r="P696" i="1" s="1"/>
  <c r="M697" i="1"/>
  <c r="M698" i="1"/>
  <c r="M699" i="1"/>
  <c r="M700" i="1"/>
  <c r="M701" i="1"/>
  <c r="P701" i="1" s="1"/>
  <c r="M702" i="1"/>
  <c r="M703" i="1"/>
  <c r="M704" i="1"/>
  <c r="M705" i="1"/>
  <c r="M706" i="1"/>
  <c r="P706" i="1" s="1"/>
  <c r="M707" i="1"/>
  <c r="M708" i="1"/>
  <c r="M709" i="1"/>
  <c r="M710" i="1"/>
  <c r="M711" i="1"/>
  <c r="P711" i="1" s="1"/>
  <c r="M712" i="1"/>
  <c r="M713" i="1"/>
  <c r="M714" i="1"/>
  <c r="M715" i="1"/>
  <c r="M716" i="1"/>
  <c r="M717" i="1"/>
  <c r="M718" i="1"/>
  <c r="P718" i="1" s="1"/>
  <c r="M719" i="1"/>
  <c r="M720" i="1"/>
  <c r="M721" i="1"/>
  <c r="M722" i="1"/>
  <c r="P722" i="1" s="1"/>
  <c r="M723" i="1"/>
  <c r="M724" i="1"/>
  <c r="M725" i="1"/>
  <c r="M726" i="1"/>
  <c r="P726" i="1" s="1"/>
  <c r="M727" i="1"/>
  <c r="P727" i="1" s="1"/>
  <c r="M728" i="1"/>
  <c r="M729" i="1"/>
  <c r="M730" i="1"/>
  <c r="P730" i="1" s="1"/>
  <c r="M731" i="1"/>
  <c r="M732" i="1"/>
  <c r="M733" i="1"/>
  <c r="M734" i="1"/>
  <c r="P734" i="1" s="1"/>
  <c r="M735" i="1"/>
  <c r="M736" i="1"/>
  <c r="M737" i="1"/>
  <c r="M738" i="1"/>
  <c r="M739" i="1"/>
  <c r="M740" i="1"/>
  <c r="P740" i="1" s="1"/>
  <c r="M741" i="1"/>
  <c r="M742" i="1"/>
  <c r="M743" i="1"/>
  <c r="M744" i="1"/>
  <c r="M745" i="1"/>
  <c r="M746" i="1"/>
  <c r="M747" i="1"/>
  <c r="M748" i="1"/>
  <c r="M749" i="1"/>
  <c r="P749" i="1" s="1"/>
  <c r="M750" i="1"/>
  <c r="M751" i="1"/>
  <c r="P751" i="1" s="1"/>
  <c r="M752" i="1"/>
  <c r="M753" i="1"/>
  <c r="M754" i="1"/>
  <c r="P754" i="1" s="1"/>
  <c r="M755" i="1"/>
  <c r="M756" i="1"/>
  <c r="M757" i="1"/>
  <c r="M758" i="1"/>
  <c r="M759" i="1"/>
  <c r="M760" i="1"/>
  <c r="M761" i="1"/>
  <c r="M762" i="1"/>
  <c r="P762" i="1" s="1"/>
  <c r="M763" i="1"/>
  <c r="M764" i="1"/>
  <c r="M765" i="1"/>
  <c r="P765" i="1" s="1"/>
  <c r="M766" i="1"/>
  <c r="M767" i="1"/>
  <c r="P767" i="1" s="1"/>
  <c r="M768" i="1"/>
  <c r="P768" i="1" s="1"/>
  <c r="M769" i="1"/>
  <c r="M770" i="1"/>
  <c r="P770" i="1" s="1"/>
  <c r="M771" i="1"/>
  <c r="M772" i="1"/>
  <c r="M773" i="1"/>
  <c r="M774" i="1"/>
  <c r="M775" i="1"/>
  <c r="M776" i="1"/>
  <c r="M777" i="1"/>
  <c r="M778" i="1"/>
  <c r="M779" i="1"/>
  <c r="N779" i="1" s="1"/>
  <c r="M780" i="1"/>
  <c r="M781" i="1"/>
  <c r="M782" i="1"/>
  <c r="M783" i="1"/>
  <c r="M784" i="1"/>
  <c r="M785" i="1"/>
  <c r="M786" i="1"/>
  <c r="P786" i="1" s="1"/>
  <c r="M787" i="1"/>
  <c r="M788" i="1"/>
  <c r="P788" i="1" s="1"/>
  <c r="M789" i="1"/>
  <c r="M790" i="1"/>
  <c r="M791" i="1"/>
  <c r="M792" i="1"/>
  <c r="P792" i="1" s="1"/>
  <c r="M793" i="1"/>
  <c r="M794" i="1"/>
  <c r="M795" i="1"/>
  <c r="M796" i="1"/>
  <c r="P796" i="1" s="1"/>
  <c r="M797" i="1"/>
  <c r="M798" i="1"/>
  <c r="M799" i="1"/>
  <c r="M800" i="1"/>
  <c r="M801" i="1"/>
  <c r="M802" i="1"/>
  <c r="M803" i="1"/>
  <c r="N803" i="1" s="1"/>
  <c r="M804" i="1"/>
  <c r="N804" i="1" s="1"/>
  <c r="M805" i="1"/>
  <c r="N805" i="1" s="1"/>
  <c r="M806" i="1"/>
  <c r="N806" i="1" s="1"/>
  <c r="M807" i="1"/>
  <c r="M808" i="1"/>
  <c r="M809" i="1"/>
  <c r="M810" i="1"/>
  <c r="M811" i="1"/>
  <c r="M812" i="1"/>
  <c r="M813" i="1"/>
  <c r="M814" i="1"/>
  <c r="M815" i="1"/>
  <c r="M816" i="1"/>
  <c r="M817" i="1"/>
  <c r="M818" i="1"/>
  <c r="M819" i="1"/>
  <c r="M820" i="1"/>
  <c r="M821" i="1"/>
  <c r="M822" i="1"/>
  <c r="M823" i="1"/>
  <c r="M824" i="1"/>
  <c r="M825" i="1"/>
  <c r="M826" i="1"/>
  <c r="M827" i="1"/>
  <c r="N827" i="1" s="1"/>
  <c r="M828" i="1"/>
  <c r="M829" i="1"/>
  <c r="M830" i="1"/>
  <c r="M831" i="1"/>
  <c r="M832" i="1"/>
  <c r="P832" i="1" s="1"/>
  <c r="M833" i="1"/>
  <c r="M834" i="1"/>
  <c r="M835" i="1"/>
  <c r="M836" i="1"/>
  <c r="M837" i="1"/>
  <c r="N837" i="1" s="1"/>
  <c r="M838" i="1"/>
  <c r="M839" i="1"/>
  <c r="M840" i="1"/>
  <c r="M841" i="1"/>
  <c r="M842" i="1"/>
  <c r="M843" i="1"/>
  <c r="N843" i="1" s="1"/>
  <c r="M844" i="1"/>
  <c r="N844" i="1" s="1"/>
  <c r="M845" i="1"/>
  <c r="N845" i="1" s="1"/>
  <c r="M846" i="1"/>
  <c r="P846" i="1" s="1"/>
  <c r="M847" i="1"/>
  <c r="M848" i="1"/>
  <c r="M849" i="1"/>
  <c r="M850" i="1"/>
  <c r="M851" i="1"/>
  <c r="M852" i="1"/>
  <c r="M853" i="1"/>
  <c r="M854" i="1"/>
  <c r="M855" i="1"/>
  <c r="M856" i="1"/>
  <c r="P856" i="1" s="1"/>
  <c r="M857" i="1"/>
  <c r="M858" i="1"/>
  <c r="M859" i="1"/>
  <c r="M860" i="1"/>
  <c r="N860" i="1" s="1"/>
  <c r="M861" i="1"/>
  <c r="M862" i="1"/>
  <c r="M863" i="1"/>
  <c r="M864" i="1"/>
  <c r="M865" i="1"/>
  <c r="P865" i="1" s="1"/>
  <c r="M866" i="1"/>
  <c r="M867" i="1"/>
  <c r="N867" i="1" s="1"/>
  <c r="M868" i="1"/>
  <c r="N868" i="1" s="1"/>
  <c r="M869" i="1"/>
  <c r="N869" i="1" s="1"/>
  <c r="M870" i="1"/>
  <c r="M871" i="1"/>
  <c r="M872" i="1"/>
  <c r="P872" i="1" s="1"/>
  <c r="M873" i="1"/>
  <c r="M874" i="1"/>
  <c r="M875" i="1"/>
  <c r="M876" i="1"/>
  <c r="N876" i="1" s="1"/>
  <c r="M877" i="1"/>
  <c r="M878" i="1"/>
  <c r="M879" i="1"/>
  <c r="M880" i="1"/>
  <c r="P880" i="1" s="1"/>
  <c r="M881" i="1"/>
  <c r="P881" i="1" s="1"/>
  <c r="M882" i="1"/>
  <c r="P882" i="1" s="1"/>
  <c r="M883" i="1"/>
  <c r="P883" i="1" s="1"/>
  <c r="M884" i="1"/>
  <c r="N884" i="1" s="1"/>
  <c r="M885" i="1"/>
  <c r="N885" i="1" s="1"/>
  <c r="M886" i="1"/>
  <c r="M887" i="1"/>
  <c r="M888" i="1"/>
  <c r="M889" i="1"/>
  <c r="P889" i="1" s="1"/>
  <c r="M890" i="1"/>
  <c r="M891" i="1"/>
  <c r="M892" i="1"/>
  <c r="N892" i="1" s="1"/>
  <c r="M893" i="1"/>
  <c r="N893" i="1" s="1"/>
  <c r="M894" i="1"/>
  <c r="M895" i="1"/>
  <c r="M896" i="1"/>
  <c r="M897" i="1"/>
  <c r="M898" i="1"/>
  <c r="M899" i="1"/>
  <c r="M900" i="1"/>
  <c r="M901" i="1"/>
  <c r="M902" i="1"/>
  <c r="M903" i="1"/>
  <c r="M904" i="1"/>
  <c r="M905" i="1"/>
  <c r="M906" i="1"/>
  <c r="M907" i="1"/>
  <c r="M908" i="1"/>
  <c r="N908" i="1" s="1"/>
  <c r="M909" i="1"/>
  <c r="N909" i="1" s="1"/>
  <c r="M910" i="1"/>
  <c r="P910" i="1" s="1"/>
  <c r="M911" i="1"/>
  <c r="M912" i="1"/>
  <c r="M913" i="1"/>
  <c r="M914" i="1"/>
  <c r="P914" i="1" s="1"/>
  <c r="M915" i="1"/>
  <c r="M916" i="1"/>
  <c r="N916" i="1" s="1"/>
  <c r="M917" i="1"/>
  <c r="N917" i="1" s="1"/>
  <c r="M918" i="1"/>
  <c r="M919" i="1"/>
  <c r="M920" i="1"/>
  <c r="M921" i="1"/>
  <c r="M922" i="1"/>
  <c r="M923" i="1"/>
  <c r="M924" i="1"/>
  <c r="N924" i="1" s="1"/>
  <c r="M925" i="1"/>
  <c r="N925" i="1" s="1"/>
  <c r="M926" i="1"/>
  <c r="M927" i="1"/>
  <c r="M928" i="1"/>
  <c r="M929" i="1"/>
  <c r="M930" i="1"/>
  <c r="M931" i="1"/>
  <c r="M932" i="1"/>
  <c r="N932" i="1" s="1"/>
  <c r="M933" i="1"/>
  <c r="N933" i="1" s="1"/>
  <c r="M934" i="1"/>
  <c r="M935" i="1"/>
  <c r="M936" i="1"/>
  <c r="M937" i="1"/>
  <c r="M938" i="1"/>
  <c r="M939" i="1"/>
  <c r="M940" i="1"/>
  <c r="N940" i="1" s="1"/>
  <c r="M941" i="1"/>
  <c r="M942" i="1"/>
  <c r="M943" i="1"/>
  <c r="M944" i="1"/>
  <c r="M945" i="1"/>
  <c r="M946" i="1"/>
  <c r="M947" i="1"/>
  <c r="N947" i="1" s="1"/>
  <c r="M948" i="1"/>
  <c r="N948" i="1" s="1"/>
  <c r="M949" i="1"/>
  <c r="N949" i="1" s="1"/>
  <c r="M950" i="1"/>
  <c r="M951" i="1"/>
  <c r="M952" i="1"/>
  <c r="M953" i="1"/>
  <c r="M954" i="1"/>
  <c r="M955" i="1"/>
  <c r="M956" i="1"/>
  <c r="M957" i="1"/>
  <c r="M958" i="1"/>
  <c r="M959" i="1"/>
  <c r="M960" i="1"/>
  <c r="M961" i="1"/>
  <c r="M962" i="1"/>
  <c r="M963" i="1"/>
  <c r="M964" i="1"/>
  <c r="N964" i="1" s="1"/>
  <c r="M965" i="1"/>
  <c r="N965" i="1" s="1"/>
  <c r="M966" i="1"/>
  <c r="M967" i="1"/>
  <c r="M968" i="1"/>
  <c r="M969" i="1"/>
  <c r="M970" i="1"/>
  <c r="M971" i="1"/>
  <c r="M972" i="1"/>
  <c r="N972" i="1" s="1"/>
  <c r="M973" i="1"/>
  <c r="N973" i="1" s="1"/>
  <c r="M974" i="1"/>
  <c r="M975" i="1"/>
  <c r="M976" i="1"/>
  <c r="M977" i="1"/>
  <c r="M978" i="1"/>
  <c r="M979" i="1"/>
  <c r="M980" i="1"/>
  <c r="M981" i="1"/>
  <c r="M982" i="1"/>
  <c r="M983" i="1"/>
  <c r="M984" i="1"/>
  <c r="M985" i="1"/>
  <c r="M986" i="1"/>
  <c r="M987" i="1"/>
  <c r="M988" i="1"/>
  <c r="N988" i="1" s="1"/>
  <c r="M989" i="1"/>
  <c r="M990" i="1"/>
  <c r="M991" i="1"/>
  <c r="M992" i="1"/>
  <c r="M993" i="1"/>
  <c r="M994" i="1"/>
  <c r="M995" i="1"/>
  <c r="M996" i="1"/>
  <c r="N996" i="1" s="1"/>
  <c r="M997" i="1"/>
  <c r="N997" i="1" s="1"/>
  <c r="M998" i="1"/>
  <c r="M999" i="1"/>
  <c r="M1000" i="1"/>
  <c r="M1001" i="1"/>
  <c r="M1002"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2" i="1"/>
  <c r="P837" i="1" l="1"/>
  <c r="P876" i="1"/>
  <c r="P868" i="1"/>
  <c r="P804" i="1"/>
  <c r="P337" i="1"/>
  <c r="P313" i="1"/>
  <c r="P209" i="1"/>
  <c r="P185" i="1"/>
  <c r="P57" i="1"/>
  <c r="P288" i="1"/>
  <c r="P184" i="1"/>
  <c r="P311" i="1"/>
  <c r="P263" i="1"/>
  <c r="P79" i="1"/>
  <c r="O1000" i="1"/>
  <c r="N1000" i="1"/>
  <c r="N992" i="1"/>
  <c r="O992" i="1"/>
  <c r="O984" i="1"/>
  <c r="N984" i="1"/>
  <c r="N976" i="1"/>
  <c r="O976" i="1"/>
  <c r="O968" i="1"/>
  <c r="N968" i="1"/>
  <c r="O960" i="1"/>
  <c r="N960" i="1"/>
  <c r="O952" i="1"/>
  <c r="N952" i="1"/>
  <c r="N944" i="1"/>
  <c r="O944" i="1"/>
  <c r="N936" i="1"/>
  <c r="O936" i="1"/>
  <c r="N928" i="1"/>
  <c r="O928" i="1"/>
  <c r="N920" i="1"/>
  <c r="O920" i="1"/>
  <c r="N912" i="1"/>
  <c r="O912" i="1"/>
  <c r="O904" i="1"/>
  <c r="N904" i="1"/>
  <c r="O896" i="1"/>
  <c r="N896" i="1"/>
  <c r="O888" i="1"/>
  <c r="N888" i="1"/>
  <c r="O880" i="1"/>
  <c r="N880" i="1"/>
  <c r="O872" i="1"/>
  <c r="N872" i="1"/>
  <c r="O864" i="1"/>
  <c r="N864" i="1"/>
  <c r="O856" i="1"/>
  <c r="N856" i="1"/>
  <c r="O848" i="1"/>
  <c r="N848" i="1"/>
  <c r="O840" i="1"/>
  <c r="N840" i="1"/>
  <c r="O832" i="1"/>
  <c r="N832" i="1"/>
  <c r="O824" i="1"/>
  <c r="N824" i="1"/>
  <c r="O816" i="1"/>
  <c r="N816" i="1"/>
  <c r="O808" i="1"/>
  <c r="N808" i="1"/>
  <c r="O800" i="1"/>
  <c r="N800" i="1"/>
  <c r="O792" i="1"/>
  <c r="N792" i="1"/>
  <c r="O784" i="1"/>
  <c r="N784" i="1"/>
  <c r="O776" i="1"/>
  <c r="N776" i="1"/>
  <c r="O768" i="1"/>
  <c r="N768" i="1"/>
  <c r="O760" i="1"/>
  <c r="N760" i="1"/>
  <c r="O752" i="1"/>
  <c r="N752" i="1"/>
  <c r="O744" i="1"/>
  <c r="N744" i="1"/>
  <c r="O736" i="1"/>
  <c r="N736" i="1"/>
  <c r="O728" i="1"/>
  <c r="N728" i="1"/>
  <c r="O720" i="1"/>
  <c r="N720" i="1"/>
  <c r="O712" i="1"/>
  <c r="N712" i="1"/>
  <c r="O704" i="1"/>
  <c r="N704" i="1"/>
  <c r="O696" i="1"/>
  <c r="N696" i="1"/>
  <c r="O688" i="1"/>
  <c r="N688" i="1"/>
  <c r="O680" i="1"/>
  <c r="N680" i="1"/>
  <c r="O672" i="1"/>
  <c r="N672" i="1"/>
  <c r="O664" i="1"/>
  <c r="N664" i="1"/>
  <c r="O656" i="1"/>
  <c r="N656" i="1"/>
  <c r="O648" i="1"/>
  <c r="N648" i="1"/>
  <c r="O640" i="1"/>
  <c r="N640" i="1"/>
  <c r="O632" i="1"/>
  <c r="N632" i="1"/>
  <c r="O624" i="1"/>
  <c r="N624" i="1"/>
  <c r="O616" i="1"/>
  <c r="N616" i="1"/>
  <c r="O608" i="1"/>
  <c r="N608" i="1"/>
  <c r="N600" i="1"/>
  <c r="O600" i="1"/>
  <c r="O592" i="1"/>
  <c r="N592" i="1"/>
  <c r="O584" i="1"/>
  <c r="N584" i="1"/>
  <c r="O576" i="1"/>
  <c r="N576" i="1"/>
  <c r="O568" i="1"/>
  <c r="N568" i="1"/>
  <c r="O560" i="1"/>
  <c r="N560" i="1"/>
  <c r="O552" i="1"/>
  <c r="N552" i="1"/>
  <c r="O544" i="1"/>
  <c r="N544" i="1"/>
  <c r="N536" i="1"/>
  <c r="O536" i="1"/>
  <c r="O528" i="1"/>
  <c r="N528" i="1"/>
  <c r="O520" i="1"/>
  <c r="N520" i="1"/>
  <c r="O512" i="1"/>
  <c r="N512" i="1"/>
  <c r="O504" i="1"/>
  <c r="N504" i="1"/>
  <c r="O496" i="1"/>
  <c r="N496" i="1"/>
  <c r="O488" i="1"/>
  <c r="N488" i="1"/>
  <c r="O480" i="1"/>
  <c r="N480" i="1"/>
  <c r="N472" i="1"/>
  <c r="O472" i="1"/>
  <c r="O464" i="1"/>
  <c r="N464" i="1"/>
  <c r="O456" i="1"/>
  <c r="N456" i="1"/>
  <c r="O448" i="1"/>
  <c r="N448" i="1"/>
  <c r="O440" i="1"/>
  <c r="N440" i="1"/>
  <c r="N432" i="1"/>
  <c r="O432" i="1"/>
  <c r="O424" i="1"/>
  <c r="N424" i="1"/>
  <c r="O416" i="1"/>
  <c r="N416" i="1"/>
  <c r="O408" i="1"/>
  <c r="N408" i="1"/>
  <c r="O400" i="1"/>
  <c r="N400" i="1"/>
  <c r="O392" i="1"/>
  <c r="N392" i="1"/>
  <c r="O384" i="1"/>
  <c r="N384" i="1"/>
  <c r="O376" i="1"/>
  <c r="N376" i="1"/>
  <c r="O368" i="1"/>
  <c r="N368" i="1"/>
  <c r="O999" i="1"/>
  <c r="N999" i="1"/>
  <c r="N991" i="1"/>
  <c r="O991" i="1"/>
  <c r="O983" i="1"/>
  <c r="N983" i="1"/>
  <c r="N975" i="1"/>
  <c r="O975" i="1"/>
  <c r="O967" i="1"/>
  <c r="N967" i="1"/>
  <c r="O959" i="1"/>
  <c r="N959" i="1"/>
  <c r="O951" i="1"/>
  <c r="N951" i="1"/>
  <c r="O943" i="1"/>
  <c r="N943" i="1"/>
  <c r="N935" i="1"/>
  <c r="O935" i="1"/>
  <c r="N927" i="1"/>
  <c r="O927" i="1"/>
  <c r="N919" i="1"/>
  <c r="O919" i="1"/>
  <c r="N911" i="1"/>
  <c r="O911" i="1"/>
  <c r="N903" i="1"/>
  <c r="O903" i="1"/>
  <c r="O895" i="1"/>
  <c r="N895" i="1"/>
  <c r="O887" i="1"/>
  <c r="N887" i="1"/>
  <c r="O879" i="1"/>
  <c r="N879" i="1"/>
  <c r="O871" i="1"/>
  <c r="N871" i="1"/>
  <c r="O863" i="1"/>
  <c r="N863" i="1"/>
  <c r="O855" i="1"/>
  <c r="N855" i="1"/>
  <c r="O847" i="1"/>
  <c r="N847" i="1"/>
  <c r="O839" i="1"/>
  <c r="N839" i="1"/>
  <c r="O831" i="1"/>
  <c r="N831" i="1"/>
  <c r="O823" i="1"/>
  <c r="N823" i="1"/>
  <c r="O815" i="1"/>
  <c r="N815" i="1"/>
  <c r="O807" i="1"/>
  <c r="N807" i="1"/>
  <c r="O799" i="1"/>
  <c r="N799" i="1"/>
  <c r="O791" i="1"/>
  <c r="N791" i="1"/>
  <c r="O783" i="1"/>
  <c r="N783" i="1"/>
  <c r="O775" i="1"/>
  <c r="N775" i="1"/>
  <c r="O767" i="1"/>
  <c r="N767" i="1"/>
  <c r="O759" i="1"/>
  <c r="N759" i="1"/>
  <c r="O751" i="1"/>
  <c r="N751" i="1"/>
  <c r="O743" i="1"/>
  <c r="N743" i="1"/>
  <c r="O735" i="1"/>
  <c r="N735" i="1"/>
  <c r="O727" i="1"/>
  <c r="N727" i="1"/>
  <c r="O719" i="1"/>
  <c r="N719" i="1"/>
  <c r="O711" i="1"/>
  <c r="N711" i="1"/>
  <c r="O703" i="1"/>
  <c r="N703" i="1"/>
  <c r="O695" i="1"/>
  <c r="N695" i="1"/>
  <c r="O687" i="1"/>
  <c r="N687" i="1"/>
  <c r="O679" i="1"/>
  <c r="N679" i="1"/>
  <c r="O671" i="1"/>
  <c r="N671" i="1"/>
  <c r="O663" i="1"/>
  <c r="N663" i="1"/>
  <c r="O655" i="1"/>
  <c r="N655" i="1"/>
  <c r="O647" i="1"/>
  <c r="N647" i="1"/>
  <c r="O639" i="1"/>
  <c r="N639" i="1"/>
  <c r="O631" i="1"/>
  <c r="N631" i="1"/>
  <c r="O623" i="1"/>
  <c r="N623" i="1"/>
  <c r="O615" i="1"/>
  <c r="N615" i="1"/>
  <c r="O607" i="1"/>
  <c r="N607" i="1"/>
  <c r="N599" i="1"/>
  <c r="O599" i="1"/>
  <c r="O591" i="1"/>
  <c r="N591" i="1"/>
  <c r="O583" i="1"/>
  <c r="N583" i="1"/>
  <c r="O575" i="1"/>
  <c r="N575" i="1"/>
  <c r="O567" i="1"/>
  <c r="N567" i="1"/>
  <c r="O559" i="1"/>
  <c r="N559" i="1"/>
  <c r="O551" i="1"/>
  <c r="N551" i="1"/>
  <c r="O543" i="1"/>
  <c r="N543" i="1"/>
  <c r="O535" i="1"/>
  <c r="N535" i="1"/>
  <c r="O527" i="1"/>
  <c r="N527" i="1"/>
  <c r="O519" i="1"/>
  <c r="N519" i="1"/>
  <c r="O511" i="1"/>
  <c r="N511" i="1"/>
  <c r="O503" i="1"/>
  <c r="N503" i="1"/>
  <c r="O495" i="1"/>
  <c r="N495" i="1"/>
  <c r="O487" i="1"/>
  <c r="N487" i="1"/>
  <c r="O479" i="1"/>
  <c r="N479" i="1"/>
  <c r="N471" i="1"/>
  <c r="O471" i="1"/>
  <c r="O463" i="1"/>
  <c r="N463" i="1"/>
  <c r="O455" i="1"/>
  <c r="N455" i="1"/>
  <c r="O447" i="1"/>
  <c r="N447" i="1"/>
  <c r="O439" i="1"/>
  <c r="N439" i="1"/>
  <c r="O431" i="1"/>
  <c r="N431" i="1"/>
  <c r="O423" i="1"/>
  <c r="N423" i="1"/>
  <c r="O415" i="1"/>
  <c r="N415" i="1"/>
  <c r="O407" i="1"/>
  <c r="N407" i="1"/>
  <c r="O399" i="1"/>
  <c r="N399" i="1"/>
  <c r="O391" i="1"/>
  <c r="N391" i="1"/>
  <c r="O383" i="1"/>
  <c r="N383" i="1"/>
  <c r="O375" i="1"/>
  <c r="N375" i="1"/>
  <c r="O367" i="1"/>
  <c r="N367" i="1"/>
  <c r="O359" i="1"/>
  <c r="N359" i="1"/>
  <c r="O351" i="1"/>
  <c r="N351" i="1"/>
  <c r="O343" i="1"/>
  <c r="N343" i="1"/>
  <c r="O335" i="1"/>
  <c r="N335" i="1"/>
  <c r="O327" i="1"/>
  <c r="N327" i="1"/>
  <c r="O989" i="1"/>
  <c r="O957" i="1"/>
  <c r="O901" i="1"/>
  <c r="O861" i="1"/>
  <c r="O956" i="1"/>
  <c r="O900" i="1"/>
  <c r="O2" i="1"/>
  <c r="O963" i="1"/>
  <c r="O899" i="1"/>
  <c r="O787" i="1"/>
  <c r="O1002" i="1"/>
  <c r="N1002" i="1"/>
  <c r="O994" i="1"/>
  <c r="N994" i="1"/>
  <c r="O986" i="1"/>
  <c r="N986" i="1"/>
  <c r="O978" i="1"/>
  <c r="N978" i="1"/>
  <c r="O970" i="1"/>
  <c r="N970" i="1"/>
  <c r="O962" i="1"/>
  <c r="N962" i="1"/>
  <c r="O954" i="1"/>
  <c r="N954" i="1"/>
  <c r="N946" i="1"/>
  <c r="O946" i="1"/>
  <c r="O938" i="1"/>
  <c r="N938" i="1"/>
  <c r="N930" i="1"/>
  <c r="O930" i="1"/>
  <c r="O922" i="1"/>
  <c r="N922" i="1"/>
  <c r="O914" i="1"/>
  <c r="N914" i="1"/>
  <c r="O906" i="1"/>
  <c r="N906" i="1"/>
  <c r="O898" i="1"/>
  <c r="N898" i="1"/>
  <c r="O890" i="1"/>
  <c r="N890" i="1"/>
  <c r="N882" i="1"/>
  <c r="O882" i="1"/>
  <c r="O874" i="1"/>
  <c r="N874" i="1"/>
  <c r="N866" i="1"/>
  <c r="O866" i="1"/>
  <c r="O858" i="1"/>
  <c r="N858" i="1"/>
  <c r="N850" i="1"/>
  <c r="O850" i="1"/>
  <c r="N842" i="1"/>
  <c r="O842" i="1"/>
  <c r="O834" i="1"/>
  <c r="N834" i="1"/>
  <c r="N826" i="1"/>
  <c r="O826" i="1"/>
  <c r="O818" i="1"/>
  <c r="N818" i="1"/>
  <c r="O810" i="1"/>
  <c r="N810" i="1"/>
  <c r="N802" i="1"/>
  <c r="O802" i="1"/>
  <c r="O794" i="1"/>
  <c r="N794" i="1"/>
  <c r="O786" i="1"/>
  <c r="N786" i="1"/>
  <c r="N778" i="1"/>
  <c r="O778" i="1"/>
  <c r="O770" i="1"/>
  <c r="N770" i="1"/>
  <c r="O762" i="1"/>
  <c r="N762" i="1"/>
  <c r="O754" i="1"/>
  <c r="N754" i="1"/>
  <c r="O746" i="1"/>
  <c r="N746" i="1"/>
  <c r="N738" i="1"/>
  <c r="O738" i="1"/>
  <c r="O730" i="1"/>
  <c r="N730" i="1"/>
  <c r="O722" i="1"/>
  <c r="N722" i="1"/>
  <c r="N714" i="1"/>
  <c r="O714" i="1"/>
  <c r="O706" i="1"/>
  <c r="N706" i="1"/>
  <c r="O698" i="1"/>
  <c r="N698" i="1"/>
  <c r="O690" i="1"/>
  <c r="N690" i="1"/>
  <c r="O682" i="1"/>
  <c r="N682" i="1"/>
  <c r="N674" i="1"/>
  <c r="O674" i="1"/>
  <c r="O666" i="1"/>
  <c r="N666" i="1"/>
  <c r="O658" i="1"/>
  <c r="N658" i="1"/>
  <c r="O650" i="1"/>
  <c r="N650" i="1"/>
  <c r="O642" i="1"/>
  <c r="N642" i="1"/>
  <c r="O634" i="1"/>
  <c r="N634" i="1"/>
  <c r="N626" i="1"/>
  <c r="O626" i="1"/>
  <c r="O618" i="1"/>
  <c r="N618" i="1"/>
  <c r="O610" i="1"/>
  <c r="N610" i="1"/>
  <c r="O602" i="1"/>
  <c r="N602" i="1"/>
  <c r="O594" i="1"/>
  <c r="N594" i="1"/>
  <c r="O586" i="1"/>
  <c r="N586" i="1"/>
  <c r="O578" i="1"/>
  <c r="N578" i="1"/>
  <c r="O570" i="1"/>
  <c r="N570" i="1"/>
  <c r="O562" i="1"/>
  <c r="N562" i="1"/>
  <c r="O554" i="1"/>
  <c r="N554" i="1"/>
  <c r="O546" i="1"/>
  <c r="N546" i="1"/>
  <c r="O538" i="1"/>
  <c r="N538" i="1"/>
  <c r="O530" i="1"/>
  <c r="N530" i="1"/>
  <c r="O522" i="1"/>
  <c r="N522" i="1"/>
  <c r="O514" i="1"/>
  <c r="N514" i="1"/>
  <c r="O506" i="1"/>
  <c r="N506" i="1"/>
  <c r="O498" i="1"/>
  <c r="N498" i="1"/>
  <c r="O490" i="1"/>
  <c r="N490" i="1"/>
  <c r="O482" i="1"/>
  <c r="N482" i="1"/>
  <c r="O474" i="1"/>
  <c r="N474" i="1"/>
  <c r="O466" i="1"/>
  <c r="N466" i="1"/>
  <c r="O458" i="1"/>
  <c r="N458" i="1"/>
  <c r="O450" i="1"/>
  <c r="N450" i="1"/>
  <c r="O442" i="1"/>
  <c r="N442" i="1"/>
  <c r="N434" i="1"/>
  <c r="O434" i="1"/>
  <c r="O426" i="1"/>
  <c r="N426" i="1"/>
  <c r="O418" i="1"/>
  <c r="N418" i="1"/>
  <c r="O410" i="1"/>
  <c r="N410" i="1"/>
  <c r="O402" i="1"/>
  <c r="N402" i="1"/>
  <c r="N394" i="1"/>
  <c r="O394" i="1"/>
  <c r="O386" i="1"/>
  <c r="N386" i="1"/>
  <c r="O378" i="1"/>
  <c r="N378" i="1"/>
  <c r="O370" i="1"/>
  <c r="N370" i="1"/>
  <c r="O1001" i="1"/>
  <c r="N1001" i="1"/>
  <c r="O993" i="1"/>
  <c r="N993" i="1"/>
  <c r="O985" i="1"/>
  <c r="N985" i="1"/>
  <c r="O977" i="1"/>
  <c r="N977" i="1"/>
  <c r="O969" i="1"/>
  <c r="N969" i="1"/>
  <c r="O961" i="1"/>
  <c r="N961" i="1"/>
  <c r="O953" i="1"/>
  <c r="N953" i="1"/>
  <c r="N945" i="1"/>
  <c r="O945" i="1"/>
  <c r="O937" i="1"/>
  <c r="N937" i="1"/>
  <c r="O929" i="1"/>
  <c r="N929" i="1"/>
  <c r="O921" i="1"/>
  <c r="N921" i="1"/>
  <c r="O913" i="1"/>
  <c r="N913" i="1"/>
  <c r="O905" i="1"/>
  <c r="N905" i="1"/>
  <c r="O897" i="1"/>
  <c r="N897" i="1"/>
  <c r="O889" i="1"/>
  <c r="N889" i="1"/>
  <c r="N881" i="1"/>
  <c r="O881" i="1"/>
  <c r="O873" i="1"/>
  <c r="N873" i="1"/>
  <c r="O865" i="1"/>
  <c r="N865" i="1"/>
  <c r="O857" i="1"/>
  <c r="N857" i="1"/>
  <c r="O849" i="1"/>
  <c r="N849" i="1"/>
  <c r="N841" i="1"/>
  <c r="O841" i="1"/>
  <c r="O833" i="1"/>
  <c r="N833" i="1"/>
  <c r="N825" i="1"/>
  <c r="O825" i="1"/>
  <c r="O817" i="1"/>
  <c r="N817" i="1"/>
  <c r="O809" i="1"/>
  <c r="N809" i="1"/>
  <c r="N801" i="1"/>
  <c r="O801" i="1"/>
  <c r="O793" i="1"/>
  <c r="N793" i="1"/>
  <c r="O785" i="1"/>
  <c r="N785" i="1"/>
  <c r="N777" i="1"/>
  <c r="O777" i="1"/>
  <c r="O769" i="1"/>
  <c r="N769" i="1"/>
  <c r="O761" i="1"/>
  <c r="N761" i="1"/>
  <c r="O753" i="1"/>
  <c r="N753" i="1"/>
  <c r="O745" i="1"/>
  <c r="N745" i="1"/>
  <c r="O737" i="1"/>
  <c r="N737" i="1"/>
  <c r="O729" i="1"/>
  <c r="N729" i="1"/>
  <c r="O721" i="1"/>
  <c r="N721" i="1"/>
  <c r="N713" i="1"/>
  <c r="O713" i="1"/>
  <c r="O705" i="1"/>
  <c r="N705" i="1"/>
  <c r="O697" i="1"/>
  <c r="N697" i="1"/>
  <c r="O689" i="1"/>
  <c r="N689" i="1"/>
  <c r="O681" i="1"/>
  <c r="N681" i="1"/>
  <c r="O673" i="1"/>
  <c r="N673" i="1"/>
  <c r="O665" i="1"/>
  <c r="N665" i="1"/>
  <c r="O657" i="1"/>
  <c r="N657" i="1"/>
  <c r="O649" i="1"/>
  <c r="N649" i="1"/>
  <c r="O641" i="1"/>
  <c r="N641" i="1"/>
  <c r="O633" i="1"/>
  <c r="N633" i="1"/>
  <c r="O625" i="1"/>
  <c r="N625" i="1"/>
  <c r="O617" i="1"/>
  <c r="N617" i="1"/>
  <c r="O609" i="1"/>
  <c r="N609" i="1"/>
  <c r="N601" i="1"/>
  <c r="O601" i="1"/>
  <c r="O593" i="1"/>
  <c r="N593" i="1"/>
  <c r="N585" i="1"/>
  <c r="O585" i="1"/>
  <c r="O577" i="1"/>
  <c r="N577" i="1"/>
  <c r="O569" i="1"/>
  <c r="N569" i="1"/>
  <c r="O561" i="1"/>
  <c r="N561" i="1"/>
  <c r="O553" i="1"/>
  <c r="N553" i="1"/>
  <c r="O545" i="1"/>
  <c r="N545" i="1"/>
  <c r="N537" i="1"/>
  <c r="O537" i="1"/>
  <c r="O529" i="1"/>
  <c r="N529" i="1"/>
  <c r="O521" i="1"/>
  <c r="N521" i="1"/>
  <c r="O513" i="1"/>
  <c r="N513" i="1"/>
  <c r="O505" i="1"/>
  <c r="N505" i="1"/>
  <c r="O497" i="1"/>
  <c r="N497" i="1"/>
  <c r="O489" i="1"/>
  <c r="N489" i="1"/>
  <c r="O481" i="1"/>
  <c r="N481" i="1"/>
  <c r="N473" i="1"/>
  <c r="O473" i="1"/>
  <c r="O465" i="1"/>
  <c r="N465" i="1"/>
  <c r="N457" i="1"/>
  <c r="O457" i="1"/>
  <c r="O449" i="1"/>
  <c r="N449" i="1"/>
  <c r="O441" i="1"/>
  <c r="N441" i="1"/>
  <c r="N433" i="1"/>
  <c r="O433" i="1"/>
  <c r="O425" i="1"/>
  <c r="N425" i="1"/>
  <c r="O417" i="1"/>
  <c r="N417" i="1"/>
  <c r="O409" i="1"/>
  <c r="N409" i="1"/>
  <c r="O401" i="1"/>
  <c r="N401" i="1"/>
  <c r="N393" i="1"/>
  <c r="O393" i="1"/>
  <c r="O385" i="1"/>
  <c r="N385" i="1"/>
  <c r="O377" i="1"/>
  <c r="N377" i="1"/>
  <c r="O369" i="1"/>
  <c r="N369" i="1"/>
  <c r="O995" i="1"/>
  <c r="O987" i="1"/>
  <c r="O979" i="1"/>
  <c r="O971" i="1"/>
  <c r="O955" i="1"/>
  <c r="O939" i="1"/>
  <c r="O931" i="1"/>
  <c r="O923" i="1"/>
  <c r="O915" i="1"/>
  <c r="O907" i="1"/>
  <c r="O891" i="1"/>
  <c r="O883" i="1"/>
  <c r="O875" i="1"/>
  <c r="O859" i="1"/>
  <c r="O851" i="1"/>
  <c r="O835" i="1"/>
  <c r="O819" i="1"/>
  <c r="N819" i="1"/>
  <c r="N811" i="1"/>
  <c r="O811" i="1"/>
  <c r="O795" i="1"/>
  <c r="O771" i="1"/>
  <c r="N763" i="1"/>
  <c r="O763" i="1"/>
  <c r="O755" i="1"/>
  <c r="O747" i="1"/>
  <c r="N739" i="1"/>
  <c r="O739" i="1"/>
  <c r="O731" i="1"/>
  <c r="O723" i="1"/>
  <c r="N715" i="1"/>
  <c r="O715" i="1"/>
  <c r="O707" i="1"/>
  <c r="N699" i="1"/>
  <c r="O699" i="1"/>
  <c r="O691" i="1"/>
  <c r="O683" i="1"/>
  <c r="O675" i="1"/>
  <c r="N675" i="1"/>
  <c r="O667" i="1"/>
  <c r="O659" i="1"/>
  <c r="O651" i="1"/>
  <c r="N651" i="1"/>
  <c r="O643" i="1"/>
  <c r="O635" i="1"/>
  <c r="N635" i="1"/>
  <c r="O627" i="1"/>
  <c r="O619" i="1"/>
  <c r="O611" i="1"/>
  <c r="N611" i="1"/>
  <c r="O603" i="1"/>
  <c r="O595" i="1"/>
  <c r="N595" i="1"/>
  <c r="O587" i="1"/>
  <c r="N587" i="1"/>
  <c r="O579" i="1"/>
  <c r="O571" i="1"/>
  <c r="N571" i="1"/>
  <c r="O563" i="1"/>
  <c r="O555" i="1"/>
  <c r="O547" i="1"/>
  <c r="N547" i="1"/>
  <c r="O539" i="1"/>
  <c r="O531" i="1"/>
  <c r="N531" i="1"/>
  <c r="O523" i="1"/>
  <c r="N523" i="1"/>
  <c r="O515" i="1"/>
  <c r="O507" i="1"/>
  <c r="N507" i="1"/>
  <c r="O499" i="1"/>
  <c r="O491" i="1"/>
  <c r="O483" i="1"/>
  <c r="N483" i="1"/>
  <c r="O475" i="1"/>
  <c r="O467" i="1"/>
  <c r="N467" i="1"/>
  <c r="O459" i="1"/>
  <c r="N459" i="1"/>
  <c r="O451" i="1"/>
  <c r="O443" i="1"/>
  <c r="N443" i="1"/>
  <c r="O435" i="1"/>
  <c r="O427" i="1"/>
  <c r="O419" i="1"/>
  <c r="N419" i="1"/>
  <c r="O411" i="1"/>
  <c r="O403" i="1"/>
  <c r="N403" i="1"/>
  <c r="O395" i="1"/>
  <c r="N395" i="1"/>
  <c r="O387" i="1"/>
  <c r="O379" i="1"/>
  <c r="N379" i="1"/>
  <c r="O371" i="1"/>
  <c r="O363" i="1"/>
  <c r="O355" i="1"/>
  <c r="N355" i="1"/>
  <c r="O347" i="1"/>
  <c r="O339" i="1"/>
  <c r="N339" i="1"/>
  <c r="O331" i="1"/>
  <c r="N331" i="1"/>
  <c r="O323" i="1"/>
  <c r="O315" i="1"/>
  <c r="N315" i="1"/>
  <c r="O307" i="1"/>
  <c r="O299" i="1"/>
  <c r="O291" i="1"/>
  <c r="N291" i="1"/>
  <c r="O283" i="1"/>
  <c r="O275" i="1"/>
  <c r="N275" i="1"/>
  <c r="O267" i="1"/>
  <c r="N267" i="1"/>
  <c r="O259" i="1"/>
  <c r="O251" i="1"/>
  <c r="N251" i="1"/>
  <c r="O243" i="1"/>
  <c r="O235" i="1"/>
  <c r="O227" i="1"/>
  <c r="N227" i="1"/>
  <c r="O219" i="1"/>
  <c r="O211" i="1"/>
  <c r="N211" i="1"/>
  <c r="O203" i="1"/>
  <c r="N203" i="1"/>
  <c r="O195" i="1"/>
  <c r="O187" i="1"/>
  <c r="N187" i="1"/>
  <c r="O179" i="1"/>
  <c r="O171" i="1"/>
  <c r="O163" i="1"/>
  <c r="N163" i="1"/>
  <c r="O155" i="1"/>
  <c r="O147" i="1"/>
  <c r="N147" i="1"/>
  <c r="O139" i="1"/>
  <c r="N139" i="1"/>
  <c r="O131" i="1"/>
  <c r="O123" i="1"/>
  <c r="N123" i="1"/>
  <c r="O115" i="1"/>
  <c r="O107" i="1"/>
  <c r="O99" i="1"/>
  <c r="N99" i="1"/>
  <c r="O91" i="1"/>
  <c r="O83" i="1"/>
  <c r="N83" i="1"/>
  <c r="O75" i="1"/>
  <c r="N75" i="1"/>
  <c r="O67" i="1"/>
  <c r="O59" i="1"/>
  <c r="N59" i="1"/>
  <c r="O51" i="1"/>
  <c r="O43" i="1"/>
  <c r="O35" i="1"/>
  <c r="N35" i="1"/>
  <c r="O27" i="1"/>
  <c r="O19" i="1"/>
  <c r="N19" i="1"/>
  <c r="O11" i="1"/>
  <c r="N11" i="1"/>
  <c r="O3" i="1"/>
  <c r="N3" i="1"/>
  <c r="N979" i="1"/>
  <c r="N915" i="1"/>
  <c r="N901" i="1"/>
  <c r="N851" i="1"/>
  <c r="N771" i="1"/>
  <c r="N731" i="1"/>
  <c r="N691" i="1"/>
  <c r="N619" i="1"/>
  <c r="N491" i="1"/>
  <c r="N363" i="1"/>
  <c r="N235" i="1"/>
  <c r="N107" i="1"/>
  <c r="O947" i="1"/>
  <c r="O804" i="1"/>
  <c r="O362" i="1"/>
  <c r="N354" i="1"/>
  <c r="O354" i="1"/>
  <c r="O346" i="1"/>
  <c r="O338" i="1"/>
  <c r="N330" i="1"/>
  <c r="O330" i="1"/>
  <c r="O322" i="1"/>
  <c r="O314" i="1"/>
  <c r="N314" i="1"/>
  <c r="N306" i="1"/>
  <c r="O306" i="1"/>
  <c r="O298" i="1"/>
  <c r="N290" i="1"/>
  <c r="O290" i="1"/>
  <c r="O282" i="1"/>
  <c r="O274" i="1"/>
  <c r="N266" i="1"/>
  <c r="O266" i="1"/>
  <c r="O258" i="1"/>
  <c r="O250" i="1"/>
  <c r="N250" i="1"/>
  <c r="O242" i="1"/>
  <c r="N242" i="1"/>
  <c r="O234" i="1"/>
  <c r="N226" i="1"/>
  <c r="O226" i="1"/>
  <c r="O218" i="1"/>
  <c r="O210" i="1"/>
  <c r="O202" i="1"/>
  <c r="N202" i="1"/>
  <c r="O194" i="1"/>
  <c r="O186" i="1"/>
  <c r="N186" i="1"/>
  <c r="O178" i="1"/>
  <c r="N178" i="1"/>
  <c r="O170" i="1"/>
  <c r="O162" i="1"/>
  <c r="N162" i="1"/>
  <c r="O154" i="1"/>
  <c r="O146" i="1"/>
  <c r="O138" i="1"/>
  <c r="N138" i="1"/>
  <c r="O130" i="1"/>
  <c r="O122" i="1"/>
  <c r="N122" i="1"/>
  <c r="O114" i="1"/>
  <c r="N114" i="1"/>
  <c r="O106" i="1"/>
  <c r="O98" i="1"/>
  <c r="N98" i="1"/>
  <c r="O90" i="1"/>
  <c r="O82" i="1"/>
  <c r="O74" i="1"/>
  <c r="N74" i="1"/>
  <c r="O66" i="1"/>
  <c r="O58" i="1"/>
  <c r="N58" i="1"/>
  <c r="O50" i="1"/>
  <c r="N50" i="1"/>
  <c r="O42" i="1"/>
  <c r="O34" i="1"/>
  <c r="N34" i="1"/>
  <c r="O26" i="1"/>
  <c r="O18" i="1"/>
  <c r="O10" i="1"/>
  <c r="N10" i="1"/>
  <c r="N2" i="1"/>
  <c r="N989" i="1"/>
  <c r="N939" i="1"/>
  <c r="N900" i="1"/>
  <c r="N875" i="1"/>
  <c r="N861" i="1"/>
  <c r="N835" i="1"/>
  <c r="N787" i="1"/>
  <c r="N747" i="1"/>
  <c r="N707" i="1"/>
  <c r="N667" i="1"/>
  <c r="N643" i="1"/>
  <c r="N515" i="1"/>
  <c r="N387" i="1"/>
  <c r="N362" i="1"/>
  <c r="N259" i="1"/>
  <c r="N234" i="1"/>
  <c r="N131" i="1"/>
  <c r="N106" i="1"/>
  <c r="O917" i="1"/>
  <c r="O843" i="1"/>
  <c r="O803" i="1"/>
  <c r="O361" i="1"/>
  <c r="O353" i="1"/>
  <c r="N353" i="1"/>
  <c r="N345" i="1"/>
  <c r="O345" i="1"/>
  <c r="O337" i="1"/>
  <c r="N329" i="1"/>
  <c r="O329" i="1"/>
  <c r="O321" i="1"/>
  <c r="O313" i="1"/>
  <c r="N305" i="1"/>
  <c r="O305" i="1"/>
  <c r="O297" i="1"/>
  <c r="O289" i="1"/>
  <c r="N289" i="1"/>
  <c r="O281" i="1"/>
  <c r="N281" i="1"/>
  <c r="O273" i="1"/>
  <c r="N265" i="1"/>
  <c r="O265" i="1"/>
  <c r="O257" i="1"/>
  <c r="O249" i="1"/>
  <c r="O241" i="1"/>
  <c r="N241" i="1"/>
  <c r="O233" i="1"/>
  <c r="O225" i="1"/>
  <c r="N225" i="1"/>
  <c r="O217" i="1"/>
  <c r="N217" i="1"/>
  <c r="O209" i="1"/>
  <c r="O201" i="1"/>
  <c r="N201" i="1"/>
  <c r="O193" i="1"/>
  <c r="O185" i="1"/>
  <c r="O177" i="1"/>
  <c r="N177" i="1"/>
  <c r="O169" i="1"/>
  <c r="O161" i="1"/>
  <c r="N161" i="1"/>
  <c r="O153" i="1"/>
  <c r="N153" i="1"/>
  <c r="O145" i="1"/>
  <c r="O137" i="1"/>
  <c r="N137" i="1"/>
  <c r="O129" i="1"/>
  <c r="O121" i="1"/>
  <c r="O113" i="1"/>
  <c r="N113" i="1"/>
  <c r="O105" i="1"/>
  <c r="O97" i="1"/>
  <c r="N97" i="1"/>
  <c r="O89" i="1"/>
  <c r="N89" i="1"/>
  <c r="O81" i="1"/>
  <c r="O73" i="1"/>
  <c r="N73" i="1"/>
  <c r="O65" i="1"/>
  <c r="O57" i="1"/>
  <c r="O49" i="1"/>
  <c r="N49" i="1"/>
  <c r="O41" i="1"/>
  <c r="O33" i="1"/>
  <c r="N33" i="1"/>
  <c r="O25" i="1"/>
  <c r="N25" i="1"/>
  <c r="O17" i="1"/>
  <c r="O9" i="1"/>
  <c r="N9" i="1"/>
  <c r="N963" i="1"/>
  <c r="N899" i="1"/>
  <c r="N723" i="1"/>
  <c r="N683" i="1"/>
  <c r="N539" i="1"/>
  <c r="N411" i="1"/>
  <c r="N361" i="1"/>
  <c r="N283" i="1"/>
  <c r="N258" i="1"/>
  <c r="N233" i="1"/>
  <c r="N155" i="1"/>
  <c r="N130" i="1"/>
  <c r="N105" i="1"/>
  <c r="N27" i="1"/>
  <c r="O973" i="1"/>
  <c r="O916" i="1"/>
  <c r="O360" i="1"/>
  <c r="O352" i="1"/>
  <c r="O344" i="1"/>
  <c r="N344" i="1"/>
  <c r="O336" i="1"/>
  <c r="O328" i="1"/>
  <c r="N328" i="1"/>
  <c r="O320" i="1"/>
  <c r="N320" i="1"/>
  <c r="O312" i="1"/>
  <c r="O304" i="1"/>
  <c r="N304" i="1"/>
  <c r="O296" i="1"/>
  <c r="O288" i="1"/>
  <c r="O280" i="1"/>
  <c r="N280" i="1"/>
  <c r="O272" i="1"/>
  <c r="O264" i="1"/>
  <c r="N264" i="1"/>
  <c r="O256" i="1"/>
  <c r="N256" i="1"/>
  <c r="O248" i="1"/>
  <c r="O240" i="1"/>
  <c r="N240" i="1"/>
  <c r="O232" i="1"/>
  <c r="O224" i="1"/>
  <c r="O216" i="1"/>
  <c r="N216" i="1"/>
  <c r="O208" i="1"/>
  <c r="O200" i="1"/>
  <c r="N200" i="1"/>
  <c r="O192" i="1"/>
  <c r="N192" i="1"/>
  <c r="O184" i="1"/>
  <c r="O176" i="1"/>
  <c r="N176" i="1"/>
  <c r="O168" i="1"/>
  <c r="O160" i="1"/>
  <c r="O152" i="1"/>
  <c r="N152" i="1"/>
  <c r="O144" i="1"/>
  <c r="O136" i="1"/>
  <c r="N136" i="1"/>
  <c r="N128" i="1"/>
  <c r="O128" i="1"/>
  <c r="O120" i="1"/>
  <c r="O112" i="1"/>
  <c r="N112" i="1"/>
  <c r="O104" i="1"/>
  <c r="O96" i="1"/>
  <c r="N88" i="1"/>
  <c r="O88" i="1"/>
  <c r="O80" i="1"/>
  <c r="O72" i="1"/>
  <c r="N72" i="1"/>
  <c r="O64" i="1"/>
  <c r="N64" i="1"/>
  <c r="O56" i="1"/>
  <c r="O48" i="1"/>
  <c r="N48" i="1"/>
  <c r="O40" i="1"/>
  <c r="O32" i="1"/>
  <c r="O24" i="1"/>
  <c r="N24" i="1"/>
  <c r="O16" i="1"/>
  <c r="O8" i="1"/>
  <c r="N8" i="1"/>
  <c r="N987" i="1"/>
  <c r="N923" i="1"/>
  <c r="N859" i="1"/>
  <c r="N659" i="1"/>
  <c r="N563" i="1"/>
  <c r="N435" i="1"/>
  <c r="N360" i="1"/>
  <c r="N307" i="1"/>
  <c r="N282" i="1"/>
  <c r="N257" i="1"/>
  <c r="N232" i="1"/>
  <c r="N179" i="1"/>
  <c r="N154" i="1"/>
  <c r="N129" i="1"/>
  <c r="N104" i="1"/>
  <c r="N51" i="1"/>
  <c r="N26" i="1"/>
  <c r="O972" i="1"/>
  <c r="O319" i="1"/>
  <c r="N319" i="1"/>
  <c r="O311" i="1"/>
  <c r="O303" i="1"/>
  <c r="N303" i="1"/>
  <c r="O295" i="1"/>
  <c r="N295" i="1"/>
  <c r="O287" i="1"/>
  <c r="O279" i="1"/>
  <c r="N279" i="1"/>
  <c r="O271" i="1"/>
  <c r="O263" i="1"/>
  <c r="O255" i="1"/>
  <c r="N255" i="1"/>
  <c r="O247" i="1"/>
  <c r="O239" i="1"/>
  <c r="N239" i="1"/>
  <c r="N231" i="1"/>
  <c r="O231" i="1"/>
  <c r="O223" i="1"/>
  <c r="O215" i="1"/>
  <c r="N215" i="1"/>
  <c r="O207" i="1"/>
  <c r="O199" i="1"/>
  <c r="N191" i="1"/>
  <c r="O191" i="1"/>
  <c r="O183" i="1"/>
  <c r="O175" i="1"/>
  <c r="N175" i="1"/>
  <c r="O167" i="1"/>
  <c r="N167" i="1"/>
  <c r="O159" i="1"/>
  <c r="N151" i="1"/>
  <c r="O151" i="1"/>
  <c r="O143" i="1"/>
  <c r="O135" i="1"/>
  <c r="N127" i="1"/>
  <c r="O127" i="1"/>
  <c r="O119" i="1"/>
  <c r="O111" i="1"/>
  <c r="N111" i="1"/>
  <c r="N103" i="1"/>
  <c r="O103" i="1"/>
  <c r="O95" i="1"/>
  <c r="N87" i="1"/>
  <c r="O87" i="1"/>
  <c r="O79" i="1"/>
  <c r="O71" i="1"/>
  <c r="O63" i="1"/>
  <c r="N63" i="1"/>
  <c r="O55" i="1"/>
  <c r="O47" i="1"/>
  <c r="N47" i="1"/>
  <c r="O39" i="1"/>
  <c r="N39" i="1"/>
  <c r="O31" i="1"/>
  <c r="O23" i="1"/>
  <c r="N23" i="1"/>
  <c r="O15" i="1"/>
  <c r="N883" i="1"/>
  <c r="N555" i="1"/>
  <c r="N427" i="1"/>
  <c r="N352" i="1"/>
  <c r="N299" i="1"/>
  <c r="N274" i="1"/>
  <c r="N249" i="1"/>
  <c r="N224" i="1"/>
  <c r="N199" i="1"/>
  <c r="N171" i="1"/>
  <c r="N146" i="1"/>
  <c r="N121" i="1"/>
  <c r="N96" i="1"/>
  <c r="N71" i="1"/>
  <c r="N43" i="1"/>
  <c r="N18" i="1"/>
  <c r="O867" i="1"/>
  <c r="O827" i="1"/>
  <c r="O998" i="1"/>
  <c r="N998" i="1"/>
  <c r="O990" i="1"/>
  <c r="N990" i="1"/>
  <c r="O982" i="1"/>
  <c r="N982" i="1"/>
  <c r="O974" i="1"/>
  <c r="N974" i="1"/>
  <c r="O966" i="1"/>
  <c r="N966" i="1"/>
  <c r="O958" i="1"/>
  <c r="N958" i="1"/>
  <c r="O950" i="1"/>
  <c r="N950" i="1"/>
  <c r="O942" i="1"/>
  <c r="N942" i="1"/>
  <c r="O934" i="1"/>
  <c r="N934" i="1"/>
  <c r="O926" i="1"/>
  <c r="N926" i="1"/>
  <c r="O918" i="1"/>
  <c r="N918" i="1"/>
  <c r="O910" i="1"/>
  <c r="N910" i="1"/>
  <c r="O902" i="1"/>
  <c r="N902" i="1"/>
  <c r="O894" i="1"/>
  <c r="N894" i="1"/>
  <c r="O886" i="1"/>
  <c r="N886" i="1"/>
  <c r="O878" i="1"/>
  <c r="N878" i="1"/>
  <c r="O870" i="1"/>
  <c r="N870" i="1"/>
  <c r="O862" i="1"/>
  <c r="N862" i="1"/>
  <c r="O854" i="1"/>
  <c r="N854" i="1"/>
  <c r="O846" i="1"/>
  <c r="N846" i="1"/>
  <c r="O838" i="1"/>
  <c r="N838" i="1"/>
  <c r="O830" i="1"/>
  <c r="N830" i="1"/>
  <c r="O822" i="1"/>
  <c r="N822" i="1"/>
  <c r="O814" i="1"/>
  <c r="O806" i="1"/>
  <c r="O798" i="1"/>
  <c r="O790" i="1"/>
  <c r="N790" i="1"/>
  <c r="O782" i="1"/>
  <c r="N782" i="1"/>
  <c r="O774" i="1"/>
  <c r="N774" i="1"/>
  <c r="O766" i="1"/>
  <c r="N766" i="1"/>
  <c r="O758" i="1"/>
  <c r="N758" i="1"/>
  <c r="O750" i="1"/>
  <c r="N750" i="1"/>
  <c r="O742" i="1"/>
  <c r="N742" i="1"/>
  <c r="O734" i="1"/>
  <c r="N734" i="1"/>
  <c r="O726" i="1"/>
  <c r="N726" i="1"/>
  <c r="O718" i="1"/>
  <c r="N718" i="1"/>
  <c r="O710" i="1"/>
  <c r="N710" i="1"/>
  <c r="O702" i="1"/>
  <c r="N702" i="1"/>
  <c r="O694" i="1"/>
  <c r="N694" i="1"/>
  <c r="O686" i="1"/>
  <c r="N686" i="1"/>
  <c r="O678" i="1"/>
  <c r="N678" i="1"/>
  <c r="O670" i="1"/>
  <c r="N670" i="1"/>
  <c r="O662" i="1"/>
  <c r="N662" i="1"/>
  <c r="O654" i="1"/>
  <c r="N654" i="1"/>
  <c r="N646" i="1"/>
  <c r="O646" i="1"/>
  <c r="O638" i="1"/>
  <c r="N638" i="1"/>
  <c r="N630" i="1"/>
  <c r="O630" i="1"/>
  <c r="O622" i="1"/>
  <c r="N622" i="1"/>
  <c r="O614" i="1"/>
  <c r="N614" i="1"/>
  <c r="O606" i="1"/>
  <c r="N606" i="1"/>
  <c r="O598" i="1"/>
  <c r="N598" i="1"/>
  <c r="N590" i="1"/>
  <c r="O590" i="1"/>
  <c r="N582" i="1"/>
  <c r="O582" i="1"/>
  <c r="N574" i="1"/>
  <c r="O574" i="1"/>
  <c r="N566" i="1"/>
  <c r="O566" i="1"/>
  <c r="N558" i="1"/>
  <c r="O558" i="1"/>
  <c r="O550" i="1"/>
  <c r="N550" i="1"/>
  <c r="O542" i="1"/>
  <c r="N542" i="1"/>
  <c r="O534" i="1"/>
  <c r="N534" i="1"/>
  <c r="N526" i="1"/>
  <c r="O526" i="1"/>
  <c r="N518" i="1"/>
  <c r="O518" i="1"/>
  <c r="O510" i="1"/>
  <c r="N510" i="1"/>
  <c r="O502" i="1"/>
  <c r="N502" i="1"/>
  <c r="N494" i="1"/>
  <c r="O494" i="1"/>
  <c r="N486" i="1"/>
  <c r="O486" i="1"/>
  <c r="O478" i="1"/>
  <c r="N478" i="1"/>
  <c r="N470" i="1"/>
  <c r="O470" i="1"/>
  <c r="O462" i="1"/>
  <c r="N462" i="1"/>
  <c r="O454" i="1"/>
  <c r="N454" i="1"/>
  <c r="O446" i="1"/>
  <c r="N446" i="1"/>
  <c r="N438" i="1"/>
  <c r="O438" i="1"/>
  <c r="O430" i="1"/>
  <c r="N430" i="1"/>
  <c r="O422" i="1"/>
  <c r="N422" i="1"/>
  <c r="N414" i="1"/>
  <c r="O414" i="1"/>
  <c r="O406" i="1"/>
  <c r="N406" i="1"/>
  <c r="N398" i="1"/>
  <c r="O398" i="1"/>
  <c r="O390" i="1"/>
  <c r="N390" i="1"/>
  <c r="O382" i="1"/>
  <c r="N382" i="1"/>
  <c r="N374" i="1"/>
  <c r="O374" i="1"/>
  <c r="O366" i="1"/>
  <c r="N366" i="1"/>
  <c r="N358" i="1"/>
  <c r="O358" i="1"/>
  <c r="N350" i="1"/>
  <c r="O350" i="1"/>
  <c r="O342" i="1"/>
  <c r="N342" i="1"/>
  <c r="N334" i="1"/>
  <c r="O334" i="1"/>
  <c r="O326" i="1"/>
  <c r="N326" i="1"/>
  <c r="N318" i="1"/>
  <c r="O318" i="1"/>
  <c r="N310" i="1"/>
  <c r="O310" i="1"/>
  <c r="O302" i="1"/>
  <c r="N302" i="1"/>
  <c r="N294" i="1"/>
  <c r="O294" i="1"/>
  <c r="N286" i="1"/>
  <c r="O286" i="1"/>
  <c r="O278" i="1"/>
  <c r="N278" i="1"/>
  <c r="N270" i="1"/>
  <c r="O270" i="1"/>
  <c r="O262" i="1"/>
  <c r="N262" i="1"/>
  <c r="N254" i="1"/>
  <c r="O254" i="1"/>
  <c r="N246" i="1"/>
  <c r="O246" i="1"/>
  <c r="O238" i="1"/>
  <c r="N238" i="1"/>
  <c r="N230" i="1"/>
  <c r="O230" i="1"/>
  <c r="N222" i="1"/>
  <c r="O222" i="1"/>
  <c r="O214" i="1"/>
  <c r="N214" i="1"/>
  <c r="N206" i="1"/>
  <c r="O206" i="1"/>
  <c r="O198" i="1"/>
  <c r="N198" i="1"/>
  <c r="N190" i="1"/>
  <c r="O190" i="1"/>
  <c r="N182" i="1"/>
  <c r="O182" i="1"/>
  <c r="O174" i="1"/>
  <c r="N174" i="1"/>
  <c r="N166" i="1"/>
  <c r="O166" i="1"/>
  <c r="O158" i="1"/>
  <c r="N158" i="1"/>
  <c r="O150" i="1"/>
  <c r="N150" i="1"/>
  <c r="N142" i="1"/>
  <c r="O142" i="1"/>
  <c r="O134" i="1"/>
  <c r="N134" i="1"/>
  <c r="N126" i="1"/>
  <c r="O126" i="1"/>
  <c r="O118" i="1"/>
  <c r="N118" i="1"/>
  <c r="O110" i="1"/>
  <c r="N110" i="1"/>
  <c r="N102" i="1"/>
  <c r="O102" i="1"/>
  <c r="O94" i="1"/>
  <c r="N94" i="1"/>
  <c r="O86" i="1"/>
  <c r="N86" i="1"/>
  <c r="O78" i="1"/>
  <c r="N78" i="1"/>
  <c r="O70" i="1"/>
  <c r="N70" i="1"/>
  <c r="N62" i="1"/>
  <c r="O62" i="1"/>
  <c r="O54" i="1"/>
  <c r="N54" i="1"/>
  <c r="O46" i="1"/>
  <c r="N46" i="1"/>
  <c r="O38" i="1"/>
  <c r="N38" i="1"/>
  <c r="O30" i="1"/>
  <c r="N30" i="1"/>
  <c r="N971" i="1"/>
  <c r="N957" i="1"/>
  <c r="N907" i="1"/>
  <c r="N579" i="1"/>
  <c r="N451" i="1"/>
  <c r="N323" i="1"/>
  <c r="N298" i="1"/>
  <c r="N273" i="1"/>
  <c r="N248" i="1"/>
  <c r="N223" i="1"/>
  <c r="N195" i="1"/>
  <c r="N170" i="1"/>
  <c r="N145" i="1"/>
  <c r="N120" i="1"/>
  <c r="N95" i="1"/>
  <c r="N67" i="1"/>
  <c r="N42" i="1"/>
  <c r="N17" i="1"/>
  <c r="O997" i="1"/>
  <c r="O981" i="1"/>
  <c r="O965" i="1"/>
  <c r="O949" i="1"/>
  <c r="O941" i="1"/>
  <c r="O933" i="1"/>
  <c r="O925" i="1"/>
  <c r="O909" i="1"/>
  <c r="O893" i="1"/>
  <c r="O885" i="1"/>
  <c r="O877" i="1"/>
  <c r="O869" i="1"/>
  <c r="O853" i="1"/>
  <c r="O845" i="1"/>
  <c r="O837" i="1"/>
  <c r="O829" i="1"/>
  <c r="N829" i="1"/>
  <c r="O821" i="1"/>
  <c r="N821" i="1"/>
  <c r="O813" i="1"/>
  <c r="N813" i="1"/>
  <c r="O805" i="1"/>
  <c r="N797" i="1"/>
  <c r="O797" i="1"/>
  <c r="N789" i="1"/>
  <c r="O789" i="1"/>
  <c r="O781" i="1"/>
  <c r="N781" i="1"/>
  <c r="N773" i="1"/>
  <c r="O773" i="1"/>
  <c r="N765" i="1"/>
  <c r="O765" i="1"/>
  <c r="N757" i="1"/>
  <c r="O757" i="1"/>
  <c r="N749" i="1"/>
  <c r="O749" i="1"/>
  <c r="O741" i="1"/>
  <c r="N741" i="1"/>
  <c r="N733" i="1"/>
  <c r="O733" i="1"/>
  <c r="N725" i="1"/>
  <c r="O725" i="1"/>
  <c r="O717" i="1"/>
  <c r="N717" i="1"/>
  <c r="N709" i="1"/>
  <c r="O709" i="1"/>
  <c r="N701" i="1"/>
  <c r="O701" i="1"/>
  <c r="N693" i="1"/>
  <c r="O693" i="1"/>
  <c r="N685" i="1"/>
  <c r="O685" i="1"/>
  <c r="O677" i="1"/>
  <c r="N677" i="1"/>
  <c r="O669" i="1"/>
  <c r="N669" i="1"/>
  <c r="O661" i="1"/>
  <c r="N661" i="1"/>
  <c r="O653" i="1"/>
  <c r="N653" i="1"/>
  <c r="N645" i="1"/>
  <c r="O645" i="1"/>
  <c r="O637" i="1"/>
  <c r="N637" i="1"/>
  <c r="N629" i="1"/>
  <c r="O629" i="1"/>
  <c r="O621" i="1"/>
  <c r="N621" i="1"/>
  <c r="N613" i="1"/>
  <c r="O613" i="1"/>
  <c r="O605" i="1"/>
  <c r="N605" i="1"/>
  <c r="O597" i="1"/>
  <c r="N597" i="1"/>
  <c r="O589" i="1"/>
  <c r="N589" i="1"/>
  <c r="N581" i="1"/>
  <c r="O581" i="1"/>
  <c r="N573" i="1"/>
  <c r="O573" i="1"/>
  <c r="N565" i="1"/>
  <c r="O565" i="1"/>
  <c r="N557" i="1"/>
  <c r="O557" i="1"/>
  <c r="N549" i="1"/>
  <c r="O549" i="1"/>
  <c r="O541" i="1"/>
  <c r="N541" i="1"/>
  <c r="O533" i="1"/>
  <c r="N533" i="1"/>
  <c r="N525" i="1"/>
  <c r="O525" i="1"/>
  <c r="N517" i="1"/>
  <c r="O517" i="1"/>
  <c r="O509" i="1"/>
  <c r="N509" i="1"/>
  <c r="O501" i="1"/>
  <c r="N501" i="1"/>
  <c r="N493" i="1"/>
  <c r="O493" i="1"/>
  <c r="N485" i="1"/>
  <c r="O485" i="1"/>
  <c r="O477" i="1"/>
  <c r="N477" i="1"/>
  <c r="O469" i="1"/>
  <c r="N469" i="1"/>
  <c r="O461" i="1"/>
  <c r="N461" i="1"/>
  <c r="O453" i="1"/>
  <c r="N453" i="1"/>
  <c r="O445" i="1"/>
  <c r="N445" i="1"/>
  <c r="O437" i="1"/>
  <c r="N437" i="1"/>
  <c r="O429" i="1"/>
  <c r="N429" i="1"/>
  <c r="O421" i="1"/>
  <c r="N421" i="1"/>
  <c r="O413" i="1"/>
  <c r="N413" i="1"/>
  <c r="O405" i="1"/>
  <c r="N405" i="1"/>
  <c r="O397" i="1"/>
  <c r="N397" i="1"/>
  <c r="O389" i="1"/>
  <c r="N389" i="1"/>
  <c r="O381" i="1"/>
  <c r="N381" i="1"/>
  <c r="O373" i="1"/>
  <c r="N373" i="1"/>
  <c r="O365" i="1"/>
  <c r="N365" i="1"/>
  <c r="O357" i="1"/>
  <c r="N357" i="1"/>
  <c r="O349" i="1"/>
  <c r="N349" i="1"/>
  <c r="O341" i="1"/>
  <c r="N341" i="1"/>
  <c r="O333" i="1"/>
  <c r="N333" i="1"/>
  <c r="O325" i="1"/>
  <c r="N325" i="1"/>
  <c r="O317" i="1"/>
  <c r="N317" i="1"/>
  <c r="O309" i="1"/>
  <c r="N309" i="1"/>
  <c r="O301" i="1"/>
  <c r="N301" i="1"/>
  <c r="O293" i="1"/>
  <c r="N293" i="1"/>
  <c r="O285" i="1"/>
  <c r="N285" i="1"/>
  <c r="O277" i="1"/>
  <c r="N277" i="1"/>
  <c r="O269" i="1"/>
  <c r="N269" i="1"/>
  <c r="O261" i="1"/>
  <c r="N261" i="1"/>
  <c r="O253" i="1"/>
  <c r="N253" i="1"/>
  <c r="O245" i="1"/>
  <c r="N245" i="1"/>
  <c r="O237" i="1"/>
  <c r="N237" i="1"/>
  <c r="O229" i="1"/>
  <c r="N229" i="1"/>
  <c r="O221" i="1"/>
  <c r="N221" i="1"/>
  <c r="O213" i="1"/>
  <c r="N213" i="1"/>
  <c r="O205" i="1"/>
  <c r="N205" i="1"/>
  <c r="O197" i="1"/>
  <c r="N197" i="1"/>
  <c r="O189" i="1"/>
  <c r="N189" i="1"/>
  <c r="O181" i="1"/>
  <c r="N181" i="1"/>
  <c r="O173" i="1"/>
  <c r="N173" i="1"/>
  <c r="O165" i="1"/>
  <c r="N165" i="1"/>
  <c r="O157" i="1"/>
  <c r="N157" i="1"/>
  <c r="O149" i="1"/>
  <c r="N149" i="1"/>
  <c r="O141" i="1"/>
  <c r="N141" i="1"/>
  <c r="O133" i="1"/>
  <c r="N133" i="1"/>
  <c r="O125" i="1"/>
  <c r="N125" i="1"/>
  <c r="O117" i="1"/>
  <c r="N117" i="1"/>
  <c r="O109" i="1"/>
  <c r="N109" i="1"/>
  <c r="O101" i="1"/>
  <c r="N101" i="1"/>
  <c r="O93" i="1"/>
  <c r="N93" i="1"/>
  <c r="O85" i="1"/>
  <c r="N85" i="1"/>
  <c r="O77" i="1"/>
  <c r="N77" i="1"/>
  <c r="O69" i="1"/>
  <c r="N69" i="1"/>
  <c r="O61" i="1"/>
  <c r="N61" i="1"/>
  <c r="O53" i="1"/>
  <c r="N53" i="1"/>
  <c r="O45" i="1"/>
  <c r="N45" i="1"/>
  <c r="O37" i="1"/>
  <c r="N37" i="1"/>
  <c r="O29" i="1"/>
  <c r="N29" i="1"/>
  <c r="N995" i="1"/>
  <c r="N981" i="1"/>
  <c r="N956" i="1"/>
  <c r="N931" i="1"/>
  <c r="N853" i="1"/>
  <c r="N814" i="1"/>
  <c r="N798" i="1"/>
  <c r="N603" i="1"/>
  <c r="N475" i="1"/>
  <c r="N347" i="1"/>
  <c r="N322" i="1"/>
  <c r="N297" i="1"/>
  <c r="N272" i="1"/>
  <c r="N247" i="1"/>
  <c r="N219" i="1"/>
  <c r="N194" i="1"/>
  <c r="N169" i="1"/>
  <c r="N144" i="1"/>
  <c r="N119" i="1"/>
  <c r="N91" i="1"/>
  <c r="N66" i="1"/>
  <c r="N41" i="1"/>
  <c r="N16" i="1"/>
  <c r="V9" i="1" s="1"/>
  <c r="O779" i="1"/>
  <c r="O996" i="1"/>
  <c r="O988" i="1"/>
  <c r="O980" i="1"/>
  <c r="O964" i="1"/>
  <c r="O948" i="1"/>
  <c r="O940" i="1"/>
  <c r="O932" i="1"/>
  <c r="O924" i="1"/>
  <c r="O908" i="1"/>
  <c r="O892" i="1"/>
  <c r="O884" i="1"/>
  <c r="O876" i="1"/>
  <c r="O868" i="1"/>
  <c r="O860" i="1"/>
  <c r="O852" i="1"/>
  <c r="O844" i="1"/>
  <c r="N836" i="1"/>
  <c r="O836" i="1"/>
  <c r="N828" i="1"/>
  <c r="O828" i="1"/>
  <c r="N820" i="1"/>
  <c r="O820" i="1"/>
  <c r="N812" i="1"/>
  <c r="O812" i="1"/>
  <c r="N796" i="1"/>
  <c r="O796" i="1"/>
  <c r="N788" i="1"/>
  <c r="O788" i="1"/>
  <c r="O780" i="1"/>
  <c r="N780" i="1"/>
  <c r="N772" i="1"/>
  <c r="O772" i="1"/>
  <c r="N764" i="1"/>
  <c r="O764" i="1"/>
  <c r="N756" i="1"/>
  <c r="O756" i="1"/>
  <c r="N748" i="1"/>
  <c r="O748" i="1"/>
  <c r="N740" i="1"/>
  <c r="O740" i="1"/>
  <c r="N732" i="1"/>
  <c r="O732" i="1"/>
  <c r="N724" i="1"/>
  <c r="O724" i="1"/>
  <c r="O716" i="1"/>
  <c r="N716" i="1"/>
  <c r="N708" i="1"/>
  <c r="O708" i="1"/>
  <c r="N700" i="1"/>
  <c r="O700" i="1"/>
  <c r="N692" i="1"/>
  <c r="O692" i="1"/>
  <c r="N684" i="1"/>
  <c r="O684" i="1"/>
  <c r="N676" i="1"/>
  <c r="O676" i="1"/>
  <c r="N668" i="1"/>
  <c r="O668" i="1"/>
  <c r="O660" i="1"/>
  <c r="N660" i="1"/>
  <c r="O652" i="1"/>
  <c r="N652" i="1"/>
  <c r="O644" i="1"/>
  <c r="N644" i="1"/>
  <c r="O636" i="1"/>
  <c r="N636" i="1"/>
  <c r="N628" i="1"/>
  <c r="O628" i="1"/>
  <c r="O620" i="1"/>
  <c r="N620" i="1"/>
  <c r="N612" i="1"/>
  <c r="O612" i="1"/>
  <c r="O604" i="1"/>
  <c r="N604" i="1"/>
  <c r="O596" i="1"/>
  <c r="N596" i="1"/>
  <c r="O588" i="1"/>
  <c r="N588" i="1"/>
  <c r="O580" i="1"/>
  <c r="N580" i="1"/>
  <c r="N572" i="1"/>
  <c r="O572" i="1"/>
  <c r="N564" i="1"/>
  <c r="O564" i="1"/>
  <c r="N556" i="1"/>
  <c r="O556" i="1"/>
  <c r="N548" i="1"/>
  <c r="O548" i="1"/>
  <c r="O540" i="1"/>
  <c r="N540" i="1"/>
  <c r="O532" i="1"/>
  <c r="N532" i="1"/>
  <c r="O524" i="1"/>
  <c r="N524" i="1"/>
  <c r="O516" i="1"/>
  <c r="N516" i="1"/>
  <c r="O508" i="1"/>
  <c r="N508" i="1"/>
  <c r="O500" i="1"/>
  <c r="N500" i="1"/>
  <c r="O492" i="1"/>
  <c r="N492" i="1"/>
  <c r="O484" i="1"/>
  <c r="N484" i="1"/>
  <c r="O476" i="1"/>
  <c r="N476" i="1"/>
  <c r="O468" i="1"/>
  <c r="N468" i="1"/>
  <c r="O460" i="1"/>
  <c r="N460" i="1"/>
  <c r="O452" i="1"/>
  <c r="N452" i="1"/>
  <c r="O444" i="1"/>
  <c r="N444" i="1"/>
  <c r="O436" i="1"/>
  <c r="N436" i="1"/>
  <c r="O428" i="1"/>
  <c r="N428" i="1"/>
  <c r="O420" i="1"/>
  <c r="N420" i="1"/>
  <c r="O412" i="1"/>
  <c r="N412" i="1"/>
  <c r="O404" i="1"/>
  <c r="N404" i="1"/>
  <c r="O396" i="1"/>
  <c r="N396" i="1"/>
  <c r="O388" i="1"/>
  <c r="N388" i="1"/>
  <c r="O380" i="1"/>
  <c r="N380" i="1"/>
  <c r="O372" i="1"/>
  <c r="N372" i="1"/>
  <c r="O364" i="1"/>
  <c r="N364" i="1"/>
  <c r="O356" i="1"/>
  <c r="N356" i="1"/>
  <c r="O348" i="1"/>
  <c r="N348" i="1"/>
  <c r="O340" i="1"/>
  <c r="N340" i="1"/>
  <c r="O332" i="1"/>
  <c r="N332" i="1"/>
  <c r="O324" i="1"/>
  <c r="N324" i="1"/>
  <c r="O316" i="1"/>
  <c r="N316" i="1"/>
  <c r="O308" i="1"/>
  <c r="N308" i="1"/>
  <c r="O300" i="1"/>
  <c r="N300" i="1"/>
  <c r="O292" i="1"/>
  <c r="N292" i="1"/>
  <c r="O284" i="1"/>
  <c r="N284" i="1"/>
  <c r="O276" i="1"/>
  <c r="N276" i="1"/>
  <c r="O268" i="1"/>
  <c r="N268" i="1"/>
  <c r="O260" i="1"/>
  <c r="N260" i="1"/>
  <c r="O252" i="1"/>
  <c r="N252" i="1"/>
  <c r="O244" i="1"/>
  <c r="N244" i="1"/>
  <c r="O236" i="1"/>
  <c r="N236" i="1"/>
  <c r="O228" i="1"/>
  <c r="N228" i="1"/>
  <c r="O220" i="1"/>
  <c r="N220" i="1"/>
  <c r="O212" i="1"/>
  <c r="N212" i="1"/>
  <c r="O204" i="1"/>
  <c r="N204" i="1"/>
  <c r="O196" i="1"/>
  <c r="N196" i="1"/>
  <c r="O188" i="1"/>
  <c r="N188" i="1"/>
  <c r="O180" i="1"/>
  <c r="N180" i="1"/>
  <c r="O172" i="1"/>
  <c r="N172" i="1"/>
  <c r="O164" i="1"/>
  <c r="N164" i="1"/>
  <c r="O156" i="1"/>
  <c r="N156" i="1"/>
  <c r="O148" i="1"/>
  <c r="N148" i="1"/>
  <c r="O140" i="1"/>
  <c r="N140" i="1"/>
  <c r="O132" i="1"/>
  <c r="N132" i="1"/>
  <c r="O124" i="1"/>
  <c r="N124" i="1"/>
  <c r="O116" i="1"/>
  <c r="N116" i="1"/>
  <c r="O108" i="1"/>
  <c r="N108" i="1"/>
  <c r="O100" i="1"/>
  <c r="N100" i="1"/>
  <c r="O92" i="1"/>
  <c r="N92" i="1"/>
  <c r="O84" i="1"/>
  <c r="N84" i="1"/>
  <c r="O76" i="1"/>
  <c r="N76" i="1"/>
  <c r="O68" i="1"/>
  <c r="N68" i="1"/>
  <c r="O60" i="1"/>
  <c r="N60" i="1"/>
  <c r="O52" i="1"/>
  <c r="N52" i="1"/>
  <c r="O44" i="1"/>
  <c r="N44" i="1"/>
  <c r="O36" i="1"/>
  <c r="N36" i="1"/>
  <c r="O28" i="1"/>
  <c r="N28" i="1"/>
  <c r="O20" i="1"/>
  <c r="N20" i="1"/>
  <c r="O12" i="1"/>
  <c r="N12" i="1"/>
  <c r="O4" i="1"/>
  <c r="N4" i="1"/>
  <c r="N980" i="1"/>
  <c r="N955" i="1"/>
  <c r="N941" i="1"/>
  <c r="N891" i="1"/>
  <c r="N877" i="1"/>
  <c r="N852" i="1"/>
  <c r="N795" i="1"/>
  <c r="N755" i="1"/>
  <c r="N627" i="1"/>
  <c r="N499" i="1"/>
  <c r="N371" i="1"/>
  <c r="N346" i="1"/>
  <c r="N321" i="1"/>
  <c r="N296" i="1"/>
  <c r="N271" i="1"/>
  <c r="N243" i="1"/>
  <c r="N218" i="1"/>
  <c r="N193" i="1"/>
  <c r="N168" i="1"/>
  <c r="N143" i="1"/>
  <c r="N115" i="1"/>
  <c r="N90" i="1"/>
  <c r="N65" i="1"/>
  <c r="N40" i="1"/>
  <c r="O7" i="1"/>
  <c r="O22" i="1"/>
  <c r="N22" i="1"/>
  <c r="O14" i="1"/>
  <c r="N14" i="1"/>
  <c r="O6" i="1"/>
  <c r="N6" i="1"/>
  <c r="O21" i="1"/>
  <c r="N21" i="1"/>
  <c r="O13" i="1"/>
  <c r="N13" i="1"/>
  <c r="O5" i="1"/>
  <c r="N5" i="1"/>
</calcChain>
</file>

<file path=xl/sharedStrings.xml><?xml version="1.0" encoding="utf-8"?>
<sst xmlns="http://schemas.openxmlformats.org/spreadsheetml/2006/main" count="6822" uniqueCount="1959">
  <si>
    <t>Tarix</t>
  </si>
  <si>
    <t>Filial</t>
  </si>
  <si>
    <t>Status</t>
  </si>
  <si>
    <t>TX1001</t>
  </si>
  <si>
    <t>Kredit</t>
  </si>
  <si>
    <t>TX1002</t>
  </si>
  <si>
    <t>Zaur Mustafayev</t>
  </si>
  <si>
    <t>Kartla</t>
  </si>
  <si>
    <t>TX1003</t>
  </si>
  <si>
    <t>Gence</t>
  </si>
  <si>
    <t>TX1004</t>
  </si>
  <si>
    <t>TX1005</t>
  </si>
  <si>
    <t>TX1006</t>
  </si>
  <si>
    <t>TX1007</t>
  </si>
  <si>
    <t>TX1008</t>
  </si>
  <si>
    <t>Telefon</t>
  </si>
  <si>
    <t>TX1009</t>
  </si>
  <si>
    <t>TX1010</t>
  </si>
  <si>
    <t>TX1011</t>
  </si>
  <si>
    <t>TX1012</t>
  </si>
  <si>
    <t>Aksesuar</t>
  </si>
  <si>
    <t>TX1013</t>
  </si>
  <si>
    <t>TX1014</t>
  </si>
  <si>
    <t>TX1015</t>
  </si>
  <si>
    <t>TX1016</t>
  </si>
  <si>
    <t>TX1017</t>
  </si>
  <si>
    <t>TX1018</t>
  </si>
  <si>
    <t>TX1019</t>
  </si>
  <si>
    <t>TX1020</t>
  </si>
  <si>
    <t>TX1021</t>
  </si>
  <si>
    <t>TX1022</t>
  </si>
  <si>
    <t>TX1023</t>
  </si>
  <si>
    <t>TX1024</t>
  </si>
  <si>
    <t>TX1025</t>
  </si>
  <si>
    <t>TX1026</t>
  </si>
  <si>
    <t>TX1027</t>
  </si>
  <si>
    <t>TX1028</t>
  </si>
  <si>
    <t>TX1029</t>
  </si>
  <si>
    <t>TX1030</t>
  </si>
  <si>
    <t>TX1031</t>
  </si>
  <si>
    <t>TX1032</t>
  </si>
  <si>
    <t>TX1033</t>
  </si>
  <si>
    <t>TX1034</t>
  </si>
  <si>
    <t>TX1035</t>
  </si>
  <si>
    <t>TX1036</t>
  </si>
  <si>
    <t>TX1037</t>
  </si>
  <si>
    <t>TX1038</t>
  </si>
  <si>
    <t>TX1039</t>
  </si>
  <si>
    <t>TX1040</t>
  </si>
  <si>
    <t>TX1041</t>
  </si>
  <si>
    <t>TX1042</t>
  </si>
  <si>
    <t>TX1043</t>
  </si>
  <si>
    <t>TX1044</t>
  </si>
  <si>
    <t>TX1045</t>
  </si>
  <si>
    <t>TX1046</t>
  </si>
  <si>
    <t>TX1047</t>
  </si>
  <si>
    <t>TX1048</t>
  </si>
  <si>
    <t>TX1049</t>
  </si>
  <si>
    <t>TX1050</t>
  </si>
  <si>
    <t>TX1051</t>
  </si>
  <si>
    <t>TX1052</t>
  </si>
  <si>
    <t>TX1053</t>
  </si>
  <si>
    <t>TX1054</t>
  </si>
  <si>
    <t>TX1055</t>
  </si>
  <si>
    <t>TX1056</t>
  </si>
  <si>
    <t>TX1057</t>
  </si>
  <si>
    <t>TX1058</t>
  </si>
  <si>
    <t>TX1059</t>
  </si>
  <si>
    <t>TX1060</t>
  </si>
  <si>
    <t>TX1061</t>
  </si>
  <si>
    <t>TX1062</t>
  </si>
  <si>
    <t>TX1063</t>
  </si>
  <si>
    <t>TX1064</t>
  </si>
  <si>
    <t>TX1065</t>
  </si>
  <si>
    <t>TX1066</t>
  </si>
  <si>
    <t>TX1067</t>
  </si>
  <si>
    <t>TX1068</t>
  </si>
  <si>
    <t>TX1069</t>
  </si>
  <si>
    <t>TX1070</t>
  </si>
  <si>
    <t>TX1071</t>
  </si>
  <si>
    <t>TX1072</t>
  </si>
  <si>
    <t>TX1073</t>
  </si>
  <si>
    <t>TX1074</t>
  </si>
  <si>
    <t>TX1075</t>
  </si>
  <si>
    <t>TX1076</t>
  </si>
  <si>
    <t>TX1077</t>
  </si>
  <si>
    <t>TX1078</t>
  </si>
  <si>
    <t>TX1079</t>
  </si>
  <si>
    <t>TX1080</t>
  </si>
  <si>
    <t>TX1081</t>
  </si>
  <si>
    <t>TX1082</t>
  </si>
  <si>
    <t>TX1083</t>
  </si>
  <si>
    <t>TX1084</t>
  </si>
  <si>
    <t>TX1085</t>
  </si>
  <si>
    <t>TX1086</t>
  </si>
  <si>
    <t>TX1087</t>
  </si>
  <si>
    <t>TX1088</t>
  </si>
  <si>
    <t>TX1089</t>
  </si>
  <si>
    <t>TX1090</t>
  </si>
  <si>
    <t>TX1091</t>
  </si>
  <si>
    <t>TX1092</t>
  </si>
  <si>
    <t>TX1093</t>
  </si>
  <si>
    <t>TX1094</t>
  </si>
  <si>
    <t>TX1095</t>
  </si>
  <si>
    <t>TX1096</t>
  </si>
  <si>
    <t>TX1097</t>
  </si>
  <si>
    <t>TX1098</t>
  </si>
  <si>
    <t>TX1099</t>
  </si>
  <si>
    <t>TX1100</t>
  </si>
  <si>
    <t>TX1101</t>
  </si>
  <si>
    <t>TX1102</t>
  </si>
  <si>
    <t>TX1103</t>
  </si>
  <si>
    <t>TX1104</t>
  </si>
  <si>
    <t>TX1105</t>
  </si>
  <si>
    <t>TX1106</t>
  </si>
  <si>
    <t>TX1107</t>
  </si>
  <si>
    <t>TX1108</t>
  </si>
  <si>
    <t>TX1109</t>
  </si>
  <si>
    <t>TX1110</t>
  </si>
  <si>
    <t>TX1111</t>
  </si>
  <si>
    <t>TX1112</t>
  </si>
  <si>
    <t>TX1113</t>
  </si>
  <si>
    <t>TX1114</t>
  </si>
  <si>
    <t>TX1115</t>
  </si>
  <si>
    <t>TX1116</t>
  </si>
  <si>
    <t>TX1117</t>
  </si>
  <si>
    <t>TX1118</t>
  </si>
  <si>
    <t>TX1119</t>
  </si>
  <si>
    <t>TX1120</t>
  </si>
  <si>
    <t>TX1121</t>
  </si>
  <si>
    <t>TX1122</t>
  </si>
  <si>
    <t>TX1123</t>
  </si>
  <si>
    <t>TX1124</t>
  </si>
  <si>
    <t>TX1125</t>
  </si>
  <si>
    <t>TX1126</t>
  </si>
  <si>
    <t>TX1127</t>
  </si>
  <si>
    <t>TX1128</t>
  </si>
  <si>
    <t>TX1129</t>
  </si>
  <si>
    <t>TX1130</t>
  </si>
  <si>
    <t>TX1131</t>
  </si>
  <si>
    <t>TX1132</t>
  </si>
  <si>
    <t>TX1133</t>
  </si>
  <si>
    <t>TX1134</t>
  </si>
  <si>
    <t>TX1135</t>
  </si>
  <si>
    <t>TX1136</t>
  </si>
  <si>
    <t>TX1137</t>
  </si>
  <si>
    <t>TX1138</t>
  </si>
  <si>
    <t>TX1139</t>
  </si>
  <si>
    <t>TX1140</t>
  </si>
  <si>
    <t>TX1141</t>
  </si>
  <si>
    <t>TX1142</t>
  </si>
  <si>
    <t>TX1143</t>
  </si>
  <si>
    <t>TX1144</t>
  </si>
  <si>
    <t>TX1145</t>
  </si>
  <si>
    <t>TX1146</t>
  </si>
  <si>
    <t>TX1147</t>
  </si>
  <si>
    <t>TX1148</t>
  </si>
  <si>
    <t>TX1149</t>
  </si>
  <si>
    <t>TX1150</t>
  </si>
  <si>
    <t>TX1151</t>
  </si>
  <si>
    <t>TX1152</t>
  </si>
  <si>
    <t>TX1153</t>
  </si>
  <si>
    <t>TX1154</t>
  </si>
  <si>
    <t>TX1155</t>
  </si>
  <si>
    <t>TX1156</t>
  </si>
  <si>
    <t>TX1157</t>
  </si>
  <si>
    <t>TX1158</t>
  </si>
  <si>
    <t>TX1159</t>
  </si>
  <si>
    <t>TX1160</t>
  </si>
  <si>
    <t>TX1161</t>
  </si>
  <si>
    <t>TX1162</t>
  </si>
  <si>
    <t>TX1163</t>
  </si>
  <si>
    <t>TX1164</t>
  </si>
  <si>
    <t>TX1165</t>
  </si>
  <si>
    <t>TX1166</t>
  </si>
  <si>
    <t>TX1167</t>
  </si>
  <si>
    <t>TX1168</t>
  </si>
  <si>
    <t>TX1169</t>
  </si>
  <si>
    <t>TX1170</t>
  </si>
  <si>
    <t>TX1171</t>
  </si>
  <si>
    <t>TX1172</t>
  </si>
  <si>
    <t>TX1173</t>
  </si>
  <si>
    <t>TX1174</t>
  </si>
  <si>
    <t>TX1175</t>
  </si>
  <si>
    <t>TX1176</t>
  </si>
  <si>
    <t>TX1177</t>
  </si>
  <si>
    <t>TX1178</t>
  </si>
  <si>
    <t>TX1179</t>
  </si>
  <si>
    <t>TX1180</t>
  </si>
  <si>
    <t>TX1181</t>
  </si>
  <si>
    <t>TX1182</t>
  </si>
  <si>
    <t>TX1183</t>
  </si>
  <si>
    <t>TX1184</t>
  </si>
  <si>
    <t>TX1185</t>
  </si>
  <si>
    <t>TX1186</t>
  </si>
  <si>
    <t>TX1187</t>
  </si>
  <si>
    <t>TX1188</t>
  </si>
  <si>
    <t>TX1189</t>
  </si>
  <si>
    <t>TX1190</t>
  </si>
  <si>
    <t>TX1191</t>
  </si>
  <si>
    <t>TX1192</t>
  </si>
  <si>
    <t>TX1193</t>
  </si>
  <si>
    <t>TX1194</t>
  </si>
  <si>
    <t>TX1195</t>
  </si>
  <si>
    <t>TX1196</t>
  </si>
  <si>
    <t>TX1197</t>
  </si>
  <si>
    <t>TX1198</t>
  </si>
  <si>
    <t>TX1199</t>
  </si>
  <si>
    <t>TX1200</t>
  </si>
  <si>
    <t>TX1201</t>
  </si>
  <si>
    <t>TX1202</t>
  </si>
  <si>
    <t>TX1203</t>
  </si>
  <si>
    <t>TX1204</t>
  </si>
  <si>
    <t>TX1205</t>
  </si>
  <si>
    <t>TX1206</t>
  </si>
  <si>
    <t>TX1207</t>
  </si>
  <si>
    <t>TX1208</t>
  </si>
  <si>
    <t>TX1209</t>
  </si>
  <si>
    <t>TX1210</t>
  </si>
  <si>
    <t>TX1211</t>
  </si>
  <si>
    <t>TX1212</t>
  </si>
  <si>
    <t>TX1213</t>
  </si>
  <si>
    <t>TX1214</t>
  </si>
  <si>
    <t>TX1215</t>
  </si>
  <si>
    <t>TX1216</t>
  </si>
  <si>
    <t>TX1217</t>
  </si>
  <si>
    <t>TX1218</t>
  </si>
  <si>
    <t>TX1219</t>
  </si>
  <si>
    <t>TX1220</t>
  </si>
  <si>
    <t>TX1221</t>
  </si>
  <si>
    <t>TX1222</t>
  </si>
  <si>
    <t>TX1223</t>
  </si>
  <si>
    <t>TX1224</t>
  </si>
  <si>
    <t>TX1225</t>
  </si>
  <si>
    <t>TX1226</t>
  </si>
  <si>
    <t>TX1227</t>
  </si>
  <si>
    <t>TX1228</t>
  </si>
  <si>
    <t>TX1229</t>
  </si>
  <si>
    <t>TX1230</t>
  </si>
  <si>
    <t>TX1231</t>
  </si>
  <si>
    <t>TX1232</t>
  </si>
  <si>
    <t>TX1233</t>
  </si>
  <si>
    <t>TX1234</t>
  </si>
  <si>
    <t>TX1235</t>
  </si>
  <si>
    <t>TX1236</t>
  </si>
  <si>
    <t>TX1237</t>
  </si>
  <si>
    <t>TX1238</t>
  </si>
  <si>
    <t>TX1239</t>
  </si>
  <si>
    <t>TX1240</t>
  </si>
  <si>
    <t>TX1241</t>
  </si>
  <si>
    <t>TX1242</t>
  </si>
  <si>
    <t>TX1243</t>
  </si>
  <si>
    <t>TX1244</t>
  </si>
  <si>
    <t>TX1245</t>
  </si>
  <si>
    <t>TX1246</t>
  </si>
  <si>
    <t>TX1247</t>
  </si>
  <si>
    <t>TX1248</t>
  </si>
  <si>
    <t>TX1249</t>
  </si>
  <si>
    <t>TX1250</t>
  </si>
  <si>
    <t>TX1251</t>
  </si>
  <si>
    <t>TX1252</t>
  </si>
  <si>
    <t>TX1253</t>
  </si>
  <si>
    <t>TX1254</t>
  </si>
  <si>
    <t>TX1255</t>
  </si>
  <si>
    <t>TX1256</t>
  </si>
  <si>
    <t>TX1257</t>
  </si>
  <si>
    <t>TX1258</t>
  </si>
  <si>
    <t>TX1259</t>
  </si>
  <si>
    <t>TX1260</t>
  </si>
  <si>
    <t>TX1261</t>
  </si>
  <si>
    <t>TX1262</t>
  </si>
  <si>
    <t>TX1263</t>
  </si>
  <si>
    <t>TX1264</t>
  </si>
  <si>
    <t>TX1265</t>
  </si>
  <si>
    <t>TX1266</t>
  </si>
  <si>
    <t>TX1267</t>
  </si>
  <si>
    <t>TX1268</t>
  </si>
  <si>
    <t>TX1269</t>
  </si>
  <si>
    <t>TX1270</t>
  </si>
  <si>
    <t>TX1271</t>
  </si>
  <si>
    <t>TX1272</t>
  </si>
  <si>
    <t>TX1273</t>
  </si>
  <si>
    <t>TX1274</t>
  </si>
  <si>
    <t>TX1275</t>
  </si>
  <si>
    <t>TX1276</t>
  </si>
  <si>
    <t>TX1277</t>
  </si>
  <si>
    <t>TX1278</t>
  </si>
  <si>
    <t>TX1279</t>
  </si>
  <si>
    <t>TX1280</t>
  </si>
  <si>
    <t>TX1281</t>
  </si>
  <si>
    <t>TX1282</t>
  </si>
  <si>
    <t>TX1283</t>
  </si>
  <si>
    <t>TX1284</t>
  </si>
  <si>
    <t>TX1285</t>
  </si>
  <si>
    <t>TX1286</t>
  </si>
  <si>
    <t>TX1287</t>
  </si>
  <si>
    <t>TX1288</t>
  </si>
  <si>
    <t>TX1289</t>
  </si>
  <si>
    <t>TX1290</t>
  </si>
  <si>
    <t>TX1291</t>
  </si>
  <si>
    <t>TX1292</t>
  </si>
  <si>
    <t>TX1293</t>
  </si>
  <si>
    <t>TX1294</t>
  </si>
  <si>
    <t>TX1295</t>
  </si>
  <si>
    <t>TX1296</t>
  </si>
  <si>
    <t>TX1297</t>
  </si>
  <si>
    <t>TX1298</t>
  </si>
  <si>
    <t>TX1299</t>
  </si>
  <si>
    <t>TX1300</t>
  </si>
  <si>
    <t>TX1301</t>
  </si>
  <si>
    <t>TX1302</t>
  </si>
  <si>
    <t>TX1303</t>
  </si>
  <si>
    <t>TX1304</t>
  </si>
  <si>
    <t>TX1305</t>
  </si>
  <si>
    <t>TX1306</t>
  </si>
  <si>
    <t>TX1307</t>
  </si>
  <si>
    <t>TX1308</t>
  </si>
  <si>
    <t>TX1309</t>
  </si>
  <si>
    <t>TX1310</t>
  </si>
  <si>
    <t>TX1311</t>
  </si>
  <si>
    <t>TX1312</t>
  </si>
  <si>
    <t>TX1313</t>
  </si>
  <si>
    <t>TX1314</t>
  </si>
  <si>
    <t>TX1315</t>
  </si>
  <si>
    <t>TX1316</t>
  </si>
  <si>
    <t>TX1317</t>
  </si>
  <si>
    <t>TX1318</t>
  </si>
  <si>
    <t>TX1319</t>
  </si>
  <si>
    <t>TX1320</t>
  </si>
  <si>
    <t>TX1321</t>
  </si>
  <si>
    <t>TX1322</t>
  </si>
  <si>
    <t>TX1323</t>
  </si>
  <si>
    <t>TX1324</t>
  </si>
  <si>
    <t>TX1325</t>
  </si>
  <si>
    <t>TX1326</t>
  </si>
  <si>
    <t>TX1327</t>
  </si>
  <si>
    <t>TX1328</t>
  </si>
  <si>
    <t>TX1329</t>
  </si>
  <si>
    <t>TX1330</t>
  </si>
  <si>
    <t>TX1331</t>
  </si>
  <si>
    <t>TX1332</t>
  </si>
  <si>
    <t>TX1333</t>
  </si>
  <si>
    <t>TX1334</t>
  </si>
  <si>
    <t>TX1335</t>
  </si>
  <si>
    <t>TX1336</t>
  </si>
  <si>
    <t>TX1337</t>
  </si>
  <si>
    <t>TX1338</t>
  </si>
  <si>
    <t>TX1339</t>
  </si>
  <si>
    <t>TX1340</t>
  </si>
  <si>
    <t>TX1341</t>
  </si>
  <si>
    <t>TX1342</t>
  </si>
  <si>
    <t>TX1343</t>
  </si>
  <si>
    <t>TX1344</t>
  </si>
  <si>
    <t>TX1345</t>
  </si>
  <si>
    <t>TX1346</t>
  </si>
  <si>
    <t>TX1347</t>
  </si>
  <si>
    <t>TX1348</t>
  </si>
  <si>
    <t>TX1349</t>
  </si>
  <si>
    <t>TX1350</t>
  </si>
  <si>
    <t>TX1351</t>
  </si>
  <si>
    <t>TX1352</t>
  </si>
  <si>
    <t>TX1353</t>
  </si>
  <si>
    <t>TX1354</t>
  </si>
  <si>
    <t>TX1355</t>
  </si>
  <si>
    <t>TX1356</t>
  </si>
  <si>
    <t>TX1357</t>
  </si>
  <si>
    <t>TX1358</t>
  </si>
  <si>
    <t>TX1359</t>
  </si>
  <si>
    <t>TX1360</t>
  </si>
  <si>
    <t>TX1361</t>
  </si>
  <si>
    <t>TX1362</t>
  </si>
  <si>
    <t>TX1363</t>
  </si>
  <si>
    <t>TX1364</t>
  </si>
  <si>
    <t>TX1365</t>
  </si>
  <si>
    <t>TX1366</t>
  </si>
  <si>
    <t>TX1367</t>
  </si>
  <si>
    <t>TX1368</t>
  </si>
  <si>
    <t>TX1369</t>
  </si>
  <si>
    <t>TX1370</t>
  </si>
  <si>
    <t>TX1371</t>
  </si>
  <si>
    <t>TX1372</t>
  </si>
  <si>
    <t>TX1373</t>
  </si>
  <si>
    <t>TX1374</t>
  </si>
  <si>
    <t>TX1375</t>
  </si>
  <si>
    <t>TX1376</t>
  </si>
  <si>
    <t>TX1377</t>
  </si>
  <si>
    <t>TX1378</t>
  </si>
  <si>
    <t>TX1379</t>
  </si>
  <si>
    <t>TX1380</t>
  </si>
  <si>
    <t>TX1381</t>
  </si>
  <si>
    <t>TX1382</t>
  </si>
  <si>
    <t>TX1383</t>
  </si>
  <si>
    <t>TX1384</t>
  </si>
  <si>
    <t>TX1385</t>
  </si>
  <si>
    <t>TX1386</t>
  </si>
  <si>
    <t>TX1387</t>
  </si>
  <si>
    <t>TX1388</t>
  </si>
  <si>
    <t>TX1389</t>
  </si>
  <si>
    <t>TX1390</t>
  </si>
  <si>
    <t>TX1391</t>
  </si>
  <si>
    <t>TX1392</t>
  </si>
  <si>
    <t>TX1393</t>
  </si>
  <si>
    <t>TX1394</t>
  </si>
  <si>
    <t>TX1395</t>
  </si>
  <si>
    <t>TX1396</t>
  </si>
  <si>
    <t>TX1397</t>
  </si>
  <si>
    <t>TX1398</t>
  </si>
  <si>
    <t>TX1399</t>
  </si>
  <si>
    <t>TX1400</t>
  </si>
  <si>
    <t>TX1401</t>
  </si>
  <si>
    <t>TX1402</t>
  </si>
  <si>
    <t>TX1403</t>
  </si>
  <si>
    <t>TX1404</t>
  </si>
  <si>
    <t>TX1405</t>
  </si>
  <si>
    <t>TX1406</t>
  </si>
  <si>
    <t>TX1407</t>
  </si>
  <si>
    <t>TX1408</t>
  </si>
  <si>
    <t>TX1409</t>
  </si>
  <si>
    <t>TX1410</t>
  </si>
  <si>
    <t>TX1411</t>
  </si>
  <si>
    <t>TX1412</t>
  </si>
  <si>
    <t>TX1413</t>
  </si>
  <si>
    <t>TX1414</t>
  </si>
  <si>
    <t>TX1415</t>
  </si>
  <si>
    <t>TX1416</t>
  </si>
  <si>
    <t>TX1417</t>
  </si>
  <si>
    <t>TX1418</t>
  </si>
  <si>
    <t>TX1419</t>
  </si>
  <si>
    <t>TX1420</t>
  </si>
  <si>
    <t>TX1421</t>
  </si>
  <si>
    <t>TX1422</t>
  </si>
  <si>
    <t>TX1423</t>
  </si>
  <si>
    <t>TX1424</t>
  </si>
  <si>
    <t>TX1425</t>
  </si>
  <si>
    <t>TX1426</t>
  </si>
  <si>
    <t>TX1427</t>
  </si>
  <si>
    <t>TX1428</t>
  </si>
  <si>
    <t>TX1429</t>
  </si>
  <si>
    <t>TX1430</t>
  </si>
  <si>
    <t>TX1431</t>
  </si>
  <si>
    <t>TX1432</t>
  </si>
  <si>
    <t>TX1433</t>
  </si>
  <si>
    <t>TX1434</t>
  </si>
  <si>
    <t>TX1435</t>
  </si>
  <si>
    <t>TX1436</t>
  </si>
  <si>
    <t>TX1437</t>
  </si>
  <si>
    <t>TX1438</t>
  </si>
  <si>
    <t>TX1439</t>
  </si>
  <si>
    <t>TX1440</t>
  </si>
  <si>
    <t>TX1441</t>
  </si>
  <si>
    <t>TX1442</t>
  </si>
  <si>
    <t>TX1443</t>
  </si>
  <si>
    <t>TX1444</t>
  </si>
  <si>
    <t>TX1445</t>
  </si>
  <si>
    <t>TX1446</t>
  </si>
  <si>
    <t>TX1447</t>
  </si>
  <si>
    <t>TX1448</t>
  </si>
  <si>
    <t>TX1449</t>
  </si>
  <si>
    <t>TX1450</t>
  </si>
  <si>
    <t>TX1451</t>
  </si>
  <si>
    <t>TX1452</t>
  </si>
  <si>
    <t>TX1453</t>
  </si>
  <si>
    <t>TX1454</t>
  </si>
  <si>
    <t>TX1455</t>
  </si>
  <si>
    <t>TX1456</t>
  </si>
  <si>
    <t>TX1457</t>
  </si>
  <si>
    <t>TX1458</t>
  </si>
  <si>
    <t>TX1459</t>
  </si>
  <si>
    <t>TX1460</t>
  </si>
  <si>
    <t>TX1461</t>
  </si>
  <si>
    <t>TX1462</t>
  </si>
  <si>
    <t>TX1463</t>
  </si>
  <si>
    <t>TX1464</t>
  </si>
  <si>
    <t>TX1465</t>
  </si>
  <si>
    <t>TX1466</t>
  </si>
  <si>
    <t>TX1467</t>
  </si>
  <si>
    <t>TX1468</t>
  </si>
  <si>
    <t>TX1469</t>
  </si>
  <si>
    <t>TX1470</t>
  </si>
  <si>
    <t>TX1471</t>
  </si>
  <si>
    <t>TX1472</t>
  </si>
  <si>
    <t>TX1473</t>
  </si>
  <si>
    <t>TX1474</t>
  </si>
  <si>
    <t>TX1475</t>
  </si>
  <si>
    <t>TX1476</t>
  </si>
  <si>
    <t>TX1477</t>
  </si>
  <si>
    <t>TX1478</t>
  </si>
  <si>
    <t>TX1479</t>
  </si>
  <si>
    <t>TX1480</t>
  </si>
  <si>
    <t>TX1481</t>
  </si>
  <si>
    <t>TX1482</t>
  </si>
  <si>
    <t>TX1483</t>
  </si>
  <si>
    <t>TX1484</t>
  </si>
  <si>
    <t>TX1485</t>
  </si>
  <si>
    <t>TX1486</t>
  </si>
  <si>
    <t>TX1487</t>
  </si>
  <si>
    <t>TX1488</t>
  </si>
  <si>
    <t>TX1489</t>
  </si>
  <si>
    <t>TX1490</t>
  </si>
  <si>
    <t>TX1491</t>
  </si>
  <si>
    <t>TX1492</t>
  </si>
  <si>
    <t>TX1493</t>
  </si>
  <si>
    <t>TX1494</t>
  </si>
  <si>
    <t>TX1495</t>
  </si>
  <si>
    <t>TX1496</t>
  </si>
  <si>
    <t>TX1497</t>
  </si>
  <si>
    <t>TX1498</t>
  </si>
  <si>
    <t>TX1499</t>
  </si>
  <si>
    <t>TX1500</t>
  </si>
  <si>
    <t>TX1501</t>
  </si>
  <si>
    <t>TX1502</t>
  </si>
  <si>
    <t>TX1503</t>
  </si>
  <si>
    <t>TX1504</t>
  </si>
  <si>
    <t>TX1505</t>
  </si>
  <si>
    <t>TX1506</t>
  </si>
  <si>
    <t>TX1507</t>
  </si>
  <si>
    <t>TX1508</t>
  </si>
  <si>
    <t>TX1509</t>
  </si>
  <si>
    <t>TX1510</t>
  </si>
  <si>
    <t>TX1511</t>
  </si>
  <si>
    <t>TX1512</t>
  </si>
  <si>
    <t>TX1513</t>
  </si>
  <si>
    <t>TX1514</t>
  </si>
  <si>
    <t>TX1515</t>
  </si>
  <si>
    <t>TX1516</t>
  </si>
  <si>
    <t>TX1517</t>
  </si>
  <si>
    <t>TX1518</t>
  </si>
  <si>
    <t>TX1519</t>
  </si>
  <si>
    <t>TX1520</t>
  </si>
  <si>
    <t>TX1521</t>
  </si>
  <si>
    <t>TX1522</t>
  </si>
  <si>
    <t>TX1523</t>
  </si>
  <si>
    <t>TX1524</t>
  </si>
  <si>
    <t>TX1525</t>
  </si>
  <si>
    <t>TX1526</t>
  </si>
  <si>
    <t>TX1527</t>
  </si>
  <si>
    <t>TX1528</t>
  </si>
  <si>
    <t>TX1529</t>
  </si>
  <si>
    <t>TX1530</t>
  </si>
  <si>
    <t>TX1531</t>
  </si>
  <si>
    <t>TX1532</t>
  </si>
  <si>
    <t>TX1533</t>
  </si>
  <si>
    <t>TX1534</t>
  </si>
  <si>
    <t>TX1535</t>
  </si>
  <si>
    <t>TX1536</t>
  </si>
  <si>
    <t>TX1537</t>
  </si>
  <si>
    <t>TX1538</t>
  </si>
  <si>
    <t>TX1539</t>
  </si>
  <si>
    <t>TX1540</t>
  </si>
  <si>
    <t>TX1541</t>
  </si>
  <si>
    <t>TX1542</t>
  </si>
  <si>
    <t>TX1543</t>
  </si>
  <si>
    <t>TX1544</t>
  </si>
  <si>
    <t>TX1545</t>
  </si>
  <si>
    <t>TX1546</t>
  </si>
  <si>
    <t>TX1547</t>
  </si>
  <si>
    <t>TX1548</t>
  </si>
  <si>
    <t>TX1549</t>
  </si>
  <si>
    <t>TX1550</t>
  </si>
  <si>
    <t>TX1551</t>
  </si>
  <si>
    <t>TX1552</t>
  </si>
  <si>
    <t>TX1553</t>
  </si>
  <si>
    <t>TX1554</t>
  </si>
  <si>
    <t>TX1555</t>
  </si>
  <si>
    <t>TX1556</t>
  </si>
  <si>
    <t>TX1557</t>
  </si>
  <si>
    <t>TX1558</t>
  </si>
  <si>
    <t>TX1559</t>
  </si>
  <si>
    <t>TX1560</t>
  </si>
  <si>
    <t>TX1561</t>
  </si>
  <si>
    <t>TX1562</t>
  </si>
  <si>
    <t>TX1563</t>
  </si>
  <si>
    <t>TX1564</t>
  </si>
  <si>
    <t>TX1565</t>
  </si>
  <si>
    <t>TX1566</t>
  </si>
  <si>
    <t>TX1567</t>
  </si>
  <si>
    <t>TX1568</t>
  </si>
  <si>
    <t>TX1569</t>
  </si>
  <si>
    <t>TX1570</t>
  </si>
  <si>
    <t>TX1571</t>
  </si>
  <si>
    <t>TX1572</t>
  </si>
  <si>
    <t>TX1573</t>
  </si>
  <si>
    <t>TX1574</t>
  </si>
  <si>
    <t>TX1575</t>
  </si>
  <si>
    <t>TX1576</t>
  </si>
  <si>
    <t>TX1577</t>
  </si>
  <si>
    <t>TX1578</t>
  </si>
  <si>
    <t>TX1579</t>
  </si>
  <si>
    <t>TX1580</t>
  </si>
  <si>
    <t>TX1581</t>
  </si>
  <si>
    <t>TX1582</t>
  </si>
  <si>
    <t>TX1583</t>
  </si>
  <si>
    <t>TX1584</t>
  </si>
  <si>
    <t>TX1585</t>
  </si>
  <si>
    <t>TX1586</t>
  </si>
  <si>
    <t>TX1587</t>
  </si>
  <si>
    <t>TX1588</t>
  </si>
  <si>
    <t>TX1589</t>
  </si>
  <si>
    <t>TX1590</t>
  </si>
  <si>
    <t>TX1591</t>
  </si>
  <si>
    <t>TX1592</t>
  </si>
  <si>
    <t>TX1593</t>
  </si>
  <si>
    <t>TX1594</t>
  </si>
  <si>
    <t>TX1595</t>
  </si>
  <si>
    <t>TX1596</t>
  </si>
  <si>
    <t>TX1597</t>
  </si>
  <si>
    <t>TX1598</t>
  </si>
  <si>
    <t>TX1599</t>
  </si>
  <si>
    <t>TX1600</t>
  </si>
  <si>
    <t>TX1601</t>
  </si>
  <si>
    <t>TX1602</t>
  </si>
  <si>
    <t>TX1603</t>
  </si>
  <si>
    <t>TX1604</t>
  </si>
  <si>
    <t>TX1605</t>
  </si>
  <si>
    <t>TX1606</t>
  </si>
  <si>
    <t>TX1607</t>
  </si>
  <si>
    <t>TX1608</t>
  </si>
  <si>
    <t>TX1609</t>
  </si>
  <si>
    <t>TX1610</t>
  </si>
  <si>
    <t>TX1611</t>
  </si>
  <si>
    <t>TX1612</t>
  </si>
  <si>
    <t>TX1613</t>
  </si>
  <si>
    <t>TX1614</t>
  </si>
  <si>
    <t>TX1615</t>
  </si>
  <si>
    <t>TX1616</t>
  </si>
  <si>
    <t>TX1617</t>
  </si>
  <si>
    <t>TX1618</t>
  </si>
  <si>
    <t>TX1619</t>
  </si>
  <si>
    <t>TX1620</t>
  </si>
  <si>
    <t>TX1621</t>
  </si>
  <si>
    <t>TX1622</t>
  </si>
  <si>
    <t>TX1623</t>
  </si>
  <si>
    <t>TX1624</t>
  </si>
  <si>
    <t>TX1625</t>
  </si>
  <si>
    <t>TX1626</t>
  </si>
  <si>
    <t>TX1627</t>
  </si>
  <si>
    <t>TX1628</t>
  </si>
  <si>
    <t>TX1629</t>
  </si>
  <si>
    <t>TX1630</t>
  </si>
  <si>
    <t>TX1631</t>
  </si>
  <si>
    <t>TX1632</t>
  </si>
  <si>
    <t>TX1633</t>
  </si>
  <si>
    <t>TX1634</t>
  </si>
  <si>
    <t>TX1635</t>
  </si>
  <si>
    <t>TX1636</t>
  </si>
  <si>
    <t>TX1637</t>
  </si>
  <si>
    <t>TX1638</t>
  </si>
  <si>
    <t>TX1639</t>
  </si>
  <si>
    <t>TX1640</t>
  </si>
  <si>
    <t>TX1641</t>
  </si>
  <si>
    <t>TX1642</t>
  </si>
  <si>
    <t>TX1643</t>
  </si>
  <si>
    <t>TX1644</t>
  </si>
  <si>
    <t>TX1645</t>
  </si>
  <si>
    <t>TX1646</t>
  </si>
  <si>
    <t>TX1647</t>
  </si>
  <si>
    <t>TX1648</t>
  </si>
  <si>
    <t>TX1649</t>
  </si>
  <si>
    <t>TX1650</t>
  </si>
  <si>
    <t>TX1651</t>
  </si>
  <si>
    <t>TX1652</t>
  </si>
  <si>
    <t>TX1653</t>
  </si>
  <si>
    <t>TX1654</t>
  </si>
  <si>
    <t>TX1655</t>
  </si>
  <si>
    <t>TX1656</t>
  </si>
  <si>
    <t>TX1657</t>
  </si>
  <si>
    <t>TX1658</t>
  </si>
  <si>
    <t>TX1659</t>
  </si>
  <si>
    <t>TX1660</t>
  </si>
  <si>
    <t>TX1661</t>
  </si>
  <si>
    <t>TX1662</t>
  </si>
  <si>
    <t>TX1663</t>
  </si>
  <si>
    <t>TX1664</t>
  </si>
  <si>
    <t>TX1665</t>
  </si>
  <si>
    <t>TX1666</t>
  </si>
  <si>
    <t>TX1667</t>
  </si>
  <si>
    <t>TX1668</t>
  </si>
  <si>
    <t>TX1669</t>
  </si>
  <si>
    <t>TX1670</t>
  </si>
  <si>
    <t>TX1671</t>
  </si>
  <si>
    <t>TX1672</t>
  </si>
  <si>
    <t>TX1673</t>
  </si>
  <si>
    <t>TX1674</t>
  </si>
  <si>
    <t>TX1675</t>
  </si>
  <si>
    <t>TX1676</t>
  </si>
  <si>
    <t>TX1677</t>
  </si>
  <si>
    <t>TX1678</t>
  </si>
  <si>
    <t>TX1679</t>
  </si>
  <si>
    <t>TX1680</t>
  </si>
  <si>
    <t>TX1681</t>
  </si>
  <si>
    <t>TX1682</t>
  </si>
  <si>
    <t>TX1683</t>
  </si>
  <si>
    <t>TX1684</t>
  </si>
  <si>
    <t>TX1685</t>
  </si>
  <si>
    <t>TX1686</t>
  </si>
  <si>
    <t>TX1687</t>
  </si>
  <si>
    <t>TX1688</t>
  </si>
  <si>
    <t>TX1689</t>
  </si>
  <si>
    <t>TX1690</t>
  </si>
  <si>
    <t>TX1691</t>
  </si>
  <si>
    <t>TX1692</t>
  </si>
  <si>
    <t>TX1693</t>
  </si>
  <si>
    <t>TX1694</t>
  </si>
  <si>
    <t>TX1695</t>
  </si>
  <si>
    <t>TX1696</t>
  </si>
  <si>
    <t>TX1697</t>
  </si>
  <si>
    <t>TX1698</t>
  </si>
  <si>
    <t>TX1699</t>
  </si>
  <si>
    <t>TX1700</t>
  </si>
  <si>
    <t>TX1701</t>
  </si>
  <si>
    <t>TX1702</t>
  </si>
  <si>
    <t>TX1703</t>
  </si>
  <si>
    <t>TX1704</t>
  </si>
  <si>
    <t>TX1705</t>
  </si>
  <si>
    <t>TX1706</t>
  </si>
  <si>
    <t>TX1707</t>
  </si>
  <si>
    <t>TX1708</t>
  </si>
  <si>
    <t>TX1709</t>
  </si>
  <si>
    <t>TX1710</t>
  </si>
  <si>
    <t>TX1711</t>
  </si>
  <si>
    <t>TX1712</t>
  </si>
  <si>
    <t>TX1713</t>
  </si>
  <si>
    <t>TX1714</t>
  </si>
  <si>
    <t>TX1715</t>
  </si>
  <si>
    <t>TX1716</t>
  </si>
  <si>
    <t>TX1717</t>
  </si>
  <si>
    <t>TX1718</t>
  </si>
  <si>
    <t>TX1719</t>
  </si>
  <si>
    <t>TX1720</t>
  </si>
  <si>
    <t>TX1721</t>
  </si>
  <si>
    <t>TX1722</t>
  </si>
  <si>
    <t>TX1723</t>
  </si>
  <si>
    <t>TX1724</t>
  </si>
  <si>
    <t>TX1725</t>
  </si>
  <si>
    <t>TX1726</t>
  </si>
  <si>
    <t>TX1727</t>
  </si>
  <si>
    <t>TX1728</t>
  </si>
  <si>
    <t>TX1729</t>
  </si>
  <si>
    <t>TX1730</t>
  </si>
  <si>
    <t>TX1731</t>
  </si>
  <si>
    <t>TX1732</t>
  </si>
  <si>
    <t>TX1733</t>
  </si>
  <si>
    <t>TX1734</t>
  </si>
  <si>
    <t>TX1735</t>
  </si>
  <si>
    <t>TX1736</t>
  </si>
  <si>
    <t>TX1737</t>
  </si>
  <si>
    <t>TX1738</t>
  </si>
  <si>
    <t>TX1739</t>
  </si>
  <si>
    <t>TX1740</t>
  </si>
  <si>
    <t>TX1741</t>
  </si>
  <si>
    <t>TX1742</t>
  </si>
  <si>
    <t>TX1743</t>
  </si>
  <si>
    <t>TX1744</t>
  </si>
  <si>
    <t>TX1745</t>
  </si>
  <si>
    <t>TX1746</t>
  </si>
  <si>
    <t>TX1747</t>
  </si>
  <si>
    <t>TX1748</t>
  </si>
  <si>
    <t>TX1749</t>
  </si>
  <si>
    <t>TX1750</t>
  </si>
  <si>
    <t>TX1751</t>
  </si>
  <si>
    <t>TX1752</t>
  </si>
  <si>
    <t>TX1753</t>
  </si>
  <si>
    <t>TX1754</t>
  </si>
  <si>
    <t>TX1755</t>
  </si>
  <si>
    <t>TX1756</t>
  </si>
  <si>
    <t>TX1757</t>
  </si>
  <si>
    <t>TX1758</t>
  </si>
  <si>
    <t>TX1759</t>
  </si>
  <si>
    <t>TX1760</t>
  </si>
  <si>
    <t>TX1761</t>
  </si>
  <si>
    <t>TX1762</t>
  </si>
  <si>
    <t>TX1763</t>
  </si>
  <si>
    <t>TX1764</t>
  </si>
  <si>
    <t>TX1765</t>
  </si>
  <si>
    <t>TX1766</t>
  </si>
  <si>
    <t>TX1767</t>
  </si>
  <si>
    <t>TX1768</t>
  </si>
  <si>
    <t>TX1769</t>
  </si>
  <si>
    <t>TX1770</t>
  </si>
  <si>
    <t>TX1771</t>
  </si>
  <si>
    <t>TX1772</t>
  </si>
  <si>
    <t>TX1773</t>
  </si>
  <si>
    <t>TX1774</t>
  </si>
  <si>
    <t>TX1775</t>
  </si>
  <si>
    <t>TX1776</t>
  </si>
  <si>
    <t>TX1777</t>
  </si>
  <si>
    <t>TX1778</t>
  </si>
  <si>
    <t>TX1779</t>
  </si>
  <si>
    <t>TX1780</t>
  </si>
  <si>
    <t>TX1781</t>
  </si>
  <si>
    <t>TX1782</t>
  </si>
  <si>
    <t>TX1783</t>
  </si>
  <si>
    <t>TX1784</t>
  </si>
  <si>
    <t>TX1785</t>
  </si>
  <si>
    <t>TX1786</t>
  </si>
  <si>
    <t>TX1787</t>
  </si>
  <si>
    <t>TX1788</t>
  </si>
  <si>
    <t>TX1789</t>
  </si>
  <si>
    <t>TX1790</t>
  </si>
  <si>
    <t>TX1791</t>
  </si>
  <si>
    <t>TX1792</t>
  </si>
  <si>
    <t>TX1793</t>
  </si>
  <si>
    <t>TX1794</t>
  </si>
  <si>
    <t>TX1795</t>
  </si>
  <si>
    <t>TX1796</t>
  </si>
  <si>
    <t>TX1797</t>
  </si>
  <si>
    <t>TX1798</t>
  </si>
  <si>
    <t>TX1799</t>
  </si>
  <si>
    <t>TX1800</t>
  </si>
  <si>
    <t>TX1801</t>
  </si>
  <si>
    <t>TX1802</t>
  </si>
  <si>
    <t>TX1803</t>
  </si>
  <si>
    <t>TX1804</t>
  </si>
  <si>
    <t>TX1805</t>
  </si>
  <si>
    <t>TX1806</t>
  </si>
  <si>
    <t>TX1807</t>
  </si>
  <si>
    <t>TX1808</t>
  </si>
  <si>
    <t>TX1809</t>
  </si>
  <si>
    <t>TX1810</t>
  </si>
  <si>
    <t>TX1811</t>
  </si>
  <si>
    <t>TX1812</t>
  </si>
  <si>
    <t>TX1813</t>
  </si>
  <si>
    <t>TX1814</t>
  </si>
  <si>
    <t>TX1815</t>
  </si>
  <si>
    <t>TX1816</t>
  </si>
  <si>
    <t>TX1817</t>
  </si>
  <si>
    <t>TX1818</t>
  </si>
  <si>
    <t>TX1819</t>
  </si>
  <si>
    <t>TX1820</t>
  </si>
  <si>
    <t>TX1821</t>
  </si>
  <si>
    <t>TX1822</t>
  </si>
  <si>
    <t>TX1823</t>
  </si>
  <si>
    <t>TX1824</t>
  </si>
  <si>
    <t>TX1825</t>
  </si>
  <si>
    <t>TX1826</t>
  </si>
  <si>
    <t>TX1827</t>
  </si>
  <si>
    <t>TX1828</t>
  </si>
  <si>
    <t>TX1829</t>
  </si>
  <si>
    <t>TX1830</t>
  </si>
  <si>
    <t>TX1831</t>
  </si>
  <si>
    <t>TX1832</t>
  </si>
  <si>
    <t>TX1833</t>
  </si>
  <si>
    <t>TX1834</t>
  </si>
  <si>
    <t>TX1835</t>
  </si>
  <si>
    <t>TX1836</t>
  </si>
  <si>
    <t>TX1837</t>
  </si>
  <si>
    <t>TX1838</t>
  </si>
  <si>
    <t>TX1839</t>
  </si>
  <si>
    <t>TX1840</t>
  </si>
  <si>
    <t>TX1841</t>
  </si>
  <si>
    <t>TX1842</t>
  </si>
  <si>
    <t>TX1843</t>
  </si>
  <si>
    <t>TX1844</t>
  </si>
  <si>
    <t>TX1845</t>
  </si>
  <si>
    <t>TX1846</t>
  </si>
  <si>
    <t>TX1847</t>
  </si>
  <si>
    <t>TX1848</t>
  </si>
  <si>
    <t>TX1849</t>
  </si>
  <si>
    <t>TX1850</t>
  </si>
  <si>
    <t>TX1851</t>
  </si>
  <si>
    <t>TX1852</t>
  </si>
  <si>
    <t>TX1853</t>
  </si>
  <si>
    <t>TX1854</t>
  </si>
  <si>
    <t>TX1855</t>
  </si>
  <si>
    <t>TX1856</t>
  </si>
  <si>
    <t>TX1857</t>
  </si>
  <si>
    <t>TX1858</t>
  </si>
  <si>
    <t>TX1859</t>
  </si>
  <si>
    <t>TX1860</t>
  </si>
  <si>
    <t>TX1861</t>
  </si>
  <si>
    <t>TX1862</t>
  </si>
  <si>
    <t>TX1863</t>
  </si>
  <si>
    <t>TX1864</t>
  </si>
  <si>
    <t>TX1865</t>
  </si>
  <si>
    <t>TX1866</t>
  </si>
  <si>
    <t>TX1867</t>
  </si>
  <si>
    <t>TX1868</t>
  </si>
  <si>
    <t>TX1869</t>
  </si>
  <si>
    <t>TX1870</t>
  </si>
  <si>
    <t>TX1871</t>
  </si>
  <si>
    <t>TX1872</t>
  </si>
  <si>
    <t>TX1873</t>
  </si>
  <si>
    <t>TX1874</t>
  </si>
  <si>
    <t>TX1875</t>
  </si>
  <si>
    <t>TX1876</t>
  </si>
  <si>
    <t>TX1877</t>
  </si>
  <si>
    <t>TX1878</t>
  </si>
  <si>
    <t>TX1879</t>
  </si>
  <si>
    <t>TX1880</t>
  </si>
  <si>
    <t>TX1881</t>
  </si>
  <si>
    <t>TX1882</t>
  </si>
  <si>
    <t>TX1883</t>
  </si>
  <si>
    <t>TX1884</t>
  </si>
  <si>
    <t>TX1885</t>
  </si>
  <si>
    <t>TX1886</t>
  </si>
  <si>
    <t>TX1887</t>
  </si>
  <si>
    <t>TX1888</t>
  </si>
  <si>
    <t>TX1889</t>
  </si>
  <si>
    <t>TX1890</t>
  </si>
  <si>
    <t>TX1891</t>
  </si>
  <si>
    <t>TX1892</t>
  </si>
  <si>
    <t>TX1893</t>
  </si>
  <si>
    <t>TX1894</t>
  </si>
  <si>
    <t>TX1895</t>
  </si>
  <si>
    <t>TX1896</t>
  </si>
  <si>
    <t>TX1897</t>
  </si>
  <si>
    <t>TX1898</t>
  </si>
  <si>
    <t>TX1899</t>
  </si>
  <si>
    <t>TX1900</t>
  </si>
  <si>
    <t>TX1901</t>
  </si>
  <si>
    <t>TX1902</t>
  </si>
  <si>
    <t>TX1903</t>
  </si>
  <si>
    <t>TX1904</t>
  </si>
  <si>
    <t>TX1905</t>
  </si>
  <si>
    <t>TX1906</t>
  </si>
  <si>
    <t>TX1907</t>
  </si>
  <si>
    <t>TX1908</t>
  </si>
  <si>
    <t>TX1909</t>
  </si>
  <si>
    <t>TX1910</t>
  </si>
  <si>
    <t>TX1911</t>
  </si>
  <si>
    <t>TX1912</t>
  </si>
  <si>
    <t>TX1913</t>
  </si>
  <si>
    <t>TX1914</t>
  </si>
  <si>
    <t>TX1915</t>
  </si>
  <si>
    <t>TX1916</t>
  </si>
  <si>
    <t>TX1917</t>
  </si>
  <si>
    <t>TX1918</t>
  </si>
  <si>
    <t>TX1919</t>
  </si>
  <si>
    <t>TX1920</t>
  </si>
  <si>
    <t>TX1921</t>
  </si>
  <si>
    <t>TX1922</t>
  </si>
  <si>
    <t>TX1923</t>
  </si>
  <si>
    <t>TX1924</t>
  </si>
  <si>
    <t>TX1925</t>
  </si>
  <si>
    <t>TX1926</t>
  </si>
  <si>
    <t>TX1927</t>
  </si>
  <si>
    <t>TX1928</t>
  </si>
  <si>
    <t>TX1929</t>
  </si>
  <si>
    <t>TX1930</t>
  </si>
  <si>
    <t>TX1931</t>
  </si>
  <si>
    <t>TX1932</t>
  </si>
  <si>
    <t>TX1933</t>
  </si>
  <si>
    <t>TX1934</t>
  </si>
  <si>
    <t>TX1935</t>
  </si>
  <si>
    <t>TX1936</t>
  </si>
  <si>
    <t>TX1937</t>
  </si>
  <si>
    <t>TX1938</t>
  </si>
  <si>
    <t>TX1939</t>
  </si>
  <si>
    <t>TX1940</t>
  </si>
  <si>
    <t>TX1941</t>
  </si>
  <si>
    <t>TX1942</t>
  </si>
  <si>
    <t>TX1943</t>
  </si>
  <si>
    <t>TX1944</t>
  </si>
  <si>
    <t>TX1945</t>
  </si>
  <si>
    <t>TX1946</t>
  </si>
  <si>
    <t>TX1947</t>
  </si>
  <si>
    <t>TX1948</t>
  </si>
  <si>
    <t>TX1949</t>
  </si>
  <si>
    <t>TX1950</t>
  </si>
  <si>
    <t>Satış ID</t>
  </si>
  <si>
    <t>Məhsul Kateqoriyası</t>
  </si>
  <si>
    <t>Ödəniş Növü</t>
  </si>
  <si>
    <t>Satış Miqdarı</t>
  </si>
  <si>
    <t>Tamamlandı</t>
  </si>
  <si>
    <t>Sumqayıt</t>
  </si>
  <si>
    <t>Nağd</t>
  </si>
  <si>
    <t>Bakı</t>
  </si>
  <si>
    <t>Aysel Vəliyeva</t>
  </si>
  <si>
    <t>Planşet</t>
  </si>
  <si>
    <t>Maya Dəyəri (AZN)</t>
  </si>
  <si>
    <t>Satış Qiyməti (AZN)</t>
  </si>
  <si>
    <t>Kompüter</t>
  </si>
  <si>
    <t>Mobil Nömrə</t>
  </si>
  <si>
    <t>Satıcı adı</t>
  </si>
  <si>
    <t>Ramil Həsənov</t>
  </si>
  <si>
    <t>Murad Ismayılov</t>
  </si>
  <si>
    <t>Nərgin Məmmədova</t>
  </si>
  <si>
    <t>Elnur Qasımov</t>
  </si>
  <si>
    <t>Əli Məmmədov</t>
  </si>
  <si>
    <t>Leyla Əliyeva</t>
  </si>
  <si>
    <t>Sumqayit</t>
  </si>
  <si>
    <t>Gəncə</t>
  </si>
  <si>
    <t>Baki</t>
  </si>
  <si>
    <t>Naməlum</t>
  </si>
  <si>
    <t>Müştəri Kodu</t>
  </si>
  <si>
    <t>RH-1001</t>
  </si>
  <si>
    <t>ZM-1002</t>
  </si>
  <si>
    <t>MI-1003</t>
  </si>
  <si>
    <t>NM-1004</t>
  </si>
  <si>
    <t>ZM-1005</t>
  </si>
  <si>
    <t>MI-1006</t>
  </si>
  <si>
    <t>EQ-1007</t>
  </si>
  <si>
    <t>ƏM-1008</t>
  </si>
  <si>
    <t>AV-1009</t>
  </si>
  <si>
    <t>LƏ-1010</t>
  </si>
  <si>
    <t>RH-1011</t>
  </si>
  <si>
    <t>AV-1012</t>
  </si>
  <si>
    <t>MI-1013</t>
  </si>
  <si>
    <t>ZM-1014</t>
  </si>
  <si>
    <t>AV-1015</t>
  </si>
  <si>
    <t>AV-1016</t>
  </si>
  <si>
    <t>AV-1017</t>
  </si>
  <si>
    <t>ZM-1018</t>
  </si>
  <si>
    <t>AV-1019</t>
  </si>
  <si>
    <t>NM-1020</t>
  </si>
  <si>
    <t>LƏ-1021</t>
  </si>
  <si>
    <t>ƏM-1022</t>
  </si>
  <si>
    <t>ZM-1023</t>
  </si>
  <si>
    <t>AV-1024</t>
  </si>
  <si>
    <t>LƏ-1025</t>
  </si>
  <si>
    <t>NM-1026</t>
  </si>
  <si>
    <t>RH-1027</t>
  </si>
  <si>
    <t>RH-1028</t>
  </si>
  <si>
    <t>NM-1029</t>
  </si>
  <si>
    <t>AV-1030</t>
  </si>
  <si>
    <t>LƏ-1031</t>
  </si>
  <si>
    <t>RH-1032</t>
  </si>
  <si>
    <t>NM-1033</t>
  </si>
  <si>
    <t>AV-1034</t>
  </si>
  <si>
    <t>EQ-1035</t>
  </si>
  <si>
    <t>ZM-1036</t>
  </si>
  <si>
    <t>EQ-1037</t>
  </si>
  <si>
    <t>LƏ-1038</t>
  </si>
  <si>
    <t>NM-1039</t>
  </si>
  <si>
    <t>AV-1040</t>
  </si>
  <si>
    <t>ZM-1041</t>
  </si>
  <si>
    <t>NM-1042</t>
  </si>
  <si>
    <t>ZM-1043</t>
  </si>
  <si>
    <t>NM-1044</t>
  </si>
  <si>
    <t>AV-1045</t>
  </si>
  <si>
    <t>LƏ-1046</t>
  </si>
  <si>
    <t>MI-1047</t>
  </si>
  <si>
    <t>LƏ-1048</t>
  </si>
  <si>
    <t>AV-1049</t>
  </si>
  <si>
    <t>LƏ-1050</t>
  </si>
  <si>
    <t>NM-1051</t>
  </si>
  <si>
    <t>MI-1052</t>
  </si>
  <si>
    <t>ZM-1053</t>
  </si>
  <si>
    <t>AV-1054</t>
  </si>
  <si>
    <t>LƏ-1055</t>
  </si>
  <si>
    <t>AV-1056</t>
  </si>
  <si>
    <t>NM-1057</t>
  </si>
  <si>
    <t>RH-1058</t>
  </si>
  <si>
    <t>NM-1059</t>
  </si>
  <si>
    <t>AV-1060</t>
  </si>
  <si>
    <t>NM-1061</t>
  </si>
  <si>
    <t>ƏM-1062</t>
  </si>
  <si>
    <t>LƏ-1063</t>
  </si>
  <si>
    <t>AV-1064</t>
  </si>
  <si>
    <t>ƏM-1065</t>
  </si>
  <si>
    <t>MI-1066</t>
  </si>
  <si>
    <t>AV-1067</t>
  </si>
  <si>
    <t>ƏM-1068</t>
  </si>
  <si>
    <t>AV-1069</t>
  </si>
  <si>
    <t>NM-1070</t>
  </si>
  <si>
    <t>LƏ-1071</t>
  </si>
  <si>
    <t>RH-1072</t>
  </si>
  <si>
    <t>AV-1073</t>
  </si>
  <si>
    <t>RH-1074</t>
  </si>
  <si>
    <t>ƏM-1075</t>
  </si>
  <si>
    <t>NM-1076</t>
  </si>
  <si>
    <t>ZM-1077</t>
  </si>
  <si>
    <t>RH-1078</t>
  </si>
  <si>
    <t>RH-1079</t>
  </si>
  <si>
    <t>ZM-1080</t>
  </si>
  <si>
    <t>EQ-1081</t>
  </si>
  <si>
    <t>MI-1082</t>
  </si>
  <si>
    <t>NM-1083</t>
  </si>
  <si>
    <t>NM-1084</t>
  </si>
  <si>
    <t>ZM-1085</t>
  </si>
  <si>
    <t>EQ-1086</t>
  </si>
  <si>
    <t>LƏ-1087</t>
  </si>
  <si>
    <t>AV-1088</t>
  </si>
  <si>
    <t>RH-1089</t>
  </si>
  <si>
    <t>LƏ-1090</t>
  </si>
  <si>
    <t>ZM-1091</t>
  </si>
  <si>
    <t>EQ-1092</t>
  </si>
  <si>
    <t>MI-1093</t>
  </si>
  <si>
    <t>NM-1094</t>
  </si>
  <si>
    <t>EQ-1095</t>
  </si>
  <si>
    <t>EQ-1096</t>
  </si>
  <si>
    <t>NM-1097</t>
  </si>
  <si>
    <t>ƏM-1098</t>
  </si>
  <si>
    <t>LƏ-1099</t>
  </si>
  <si>
    <t>NM-1100</t>
  </si>
  <si>
    <t>LƏ-1101</t>
  </si>
  <si>
    <t>ZM-1102</t>
  </si>
  <si>
    <t>AV-1103</t>
  </si>
  <si>
    <t>AV-1104</t>
  </si>
  <si>
    <t>RH-1105</t>
  </si>
  <si>
    <t>ZM-1106</t>
  </si>
  <si>
    <t>ƏM-1107</t>
  </si>
  <si>
    <t>RH-1108</t>
  </si>
  <si>
    <t>AV-1109</t>
  </si>
  <si>
    <t>NM-1110</t>
  </si>
  <si>
    <t>LƏ-1111</t>
  </si>
  <si>
    <t>ZM-1112</t>
  </si>
  <si>
    <t>EQ-1113</t>
  </si>
  <si>
    <t>EQ-1114</t>
  </si>
  <si>
    <t>LƏ-1115</t>
  </si>
  <si>
    <t>AV-1116</t>
  </si>
  <si>
    <t>MI-1117</t>
  </si>
  <si>
    <t>LƏ-1118</t>
  </si>
  <si>
    <t>RH-1119</t>
  </si>
  <si>
    <t>ƏM-1120</t>
  </si>
  <si>
    <t>RH-1121</t>
  </si>
  <si>
    <t>LƏ-1122</t>
  </si>
  <si>
    <t>EQ-1123</t>
  </si>
  <si>
    <t>EQ-1124</t>
  </si>
  <si>
    <t>ƏM-1125</t>
  </si>
  <si>
    <t>LƏ-1126</t>
  </si>
  <si>
    <t>ZM-1127</t>
  </si>
  <si>
    <t>ZM-1128</t>
  </si>
  <si>
    <t>ZM-1129</t>
  </si>
  <si>
    <t>EQ-1130</t>
  </si>
  <si>
    <t>NM-1131</t>
  </si>
  <si>
    <t>AV-1132</t>
  </si>
  <si>
    <t>EQ-1133</t>
  </si>
  <si>
    <t>RH-1134</t>
  </si>
  <si>
    <t>RH-1135</t>
  </si>
  <si>
    <t>NM-1136</t>
  </si>
  <si>
    <t>LƏ-1137</t>
  </si>
  <si>
    <t>ZM-1138</t>
  </si>
  <si>
    <t>EQ-1139</t>
  </si>
  <si>
    <t>MI-1140</t>
  </si>
  <si>
    <t>AV-1141</t>
  </si>
  <si>
    <t>RH-1142</t>
  </si>
  <si>
    <t>RH-1143</t>
  </si>
  <si>
    <t>ƏM-1144</t>
  </si>
  <si>
    <t>LƏ-1145</t>
  </si>
  <si>
    <t>MI-1146</t>
  </si>
  <si>
    <t>ZM-1147</t>
  </si>
  <si>
    <t>AV-1148</t>
  </si>
  <si>
    <t>ƏM-1149</t>
  </si>
  <si>
    <t>LƏ-1150</t>
  </si>
  <si>
    <t>EQ-1151</t>
  </si>
  <si>
    <t>LƏ-1152</t>
  </si>
  <si>
    <t>EQ-1153</t>
  </si>
  <si>
    <t>LƏ-1154</t>
  </si>
  <si>
    <t>RH-1155</t>
  </si>
  <si>
    <t>LƏ-1156</t>
  </si>
  <si>
    <t>ZM-1157</t>
  </si>
  <si>
    <t>LƏ-1158</t>
  </si>
  <si>
    <t>EQ-1159</t>
  </si>
  <si>
    <t>AV-1160</t>
  </si>
  <si>
    <t>ZM-1161</t>
  </si>
  <si>
    <t>ƏM-1162</t>
  </si>
  <si>
    <t>MI-1163</t>
  </si>
  <si>
    <t>MI-1164</t>
  </si>
  <si>
    <t>LƏ-1165</t>
  </si>
  <si>
    <t>NM-1166</t>
  </si>
  <si>
    <t>AV-1167</t>
  </si>
  <si>
    <t>MI-1168</t>
  </si>
  <si>
    <t>EQ-1169</t>
  </si>
  <si>
    <t>NM-1170</t>
  </si>
  <si>
    <t>RH-1171</t>
  </si>
  <si>
    <t>EQ-1172</t>
  </si>
  <si>
    <t>AV-1173</t>
  </si>
  <si>
    <t>NM-1174</t>
  </si>
  <si>
    <t>EQ-1175</t>
  </si>
  <si>
    <t>AV-1176</t>
  </si>
  <si>
    <t>ƏM-1177</t>
  </si>
  <si>
    <t>NM-1178</t>
  </si>
  <si>
    <t>ƏM-1179</t>
  </si>
  <si>
    <t>AV-1180</t>
  </si>
  <si>
    <t>NM-1181</t>
  </si>
  <si>
    <t>LƏ-1182</t>
  </si>
  <si>
    <t>AV-1183</t>
  </si>
  <si>
    <t>EQ-1184</t>
  </si>
  <si>
    <t>MI-1185</t>
  </si>
  <si>
    <t>ZM-1186</t>
  </si>
  <si>
    <t>ZM-1187</t>
  </si>
  <si>
    <t>MI-1188</t>
  </si>
  <si>
    <t>ZM-1189</t>
  </si>
  <si>
    <t>RH-1190</t>
  </si>
  <si>
    <t>NM-1191</t>
  </si>
  <si>
    <t>EQ-1192</t>
  </si>
  <si>
    <t>LƏ-1193</t>
  </si>
  <si>
    <t>AV-1194</t>
  </si>
  <si>
    <t>AV-1195</t>
  </si>
  <si>
    <t>NM-1196</t>
  </si>
  <si>
    <t>NM-1197</t>
  </si>
  <si>
    <t>EQ-1198</t>
  </si>
  <si>
    <t>NM-1199</t>
  </si>
  <si>
    <t>NM-1200</t>
  </si>
  <si>
    <t>AV-1201</t>
  </si>
  <si>
    <t>ƏM-1202</t>
  </si>
  <si>
    <t>MI-1203</t>
  </si>
  <si>
    <t>MI-1204</t>
  </si>
  <si>
    <t>LƏ-1205</t>
  </si>
  <si>
    <t>NM-1206</t>
  </si>
  <si>
    <t>EQ-1207</t>
  </si>
  <si>
    <t>EQ-1208</t>
  </si>
  <si>
    <t>ƏM-1209</t>
  </si>
  <si>
    <t>MI-1210</t>
  </si>
  <si>
    <t>LƏ-1211</t>
  </si>
  <si>
    <t>AV-1212</t>
  </si>
  <si>
    <t>ƏM-1213</t>
  </si>
  <si>
    <t>ƏM-1214</t>
  </si>
  <si>
    <t>NM-1215</t>
  </si>
  <si>
    <t>MI-1216</t>
  </si>
  <si>
    <t>MI-1217</t>
  </si>
  <si>
    <t>ZM-1218</t>
  </si>
  <si>
    <t>RH-1219</t>
  </si>
  <si>
    <t>MI-1220</t>
  </si>
  <si>
    <t>NM-1221</t>
  </si>
  <si>
    <t>AV-1222</t>
  </si>
  <si>
    <t>RH-1223</t>
  </si>
  <si>
    <t>MI-1224</t>
  </si>
  <si>
    <t>RH-1225</t>
  </si>
  <si>
    <t>AV-1226</t>
  </si>
  <si>
    <t>NM-1227</t>
  </si>
  <si>
    <t>ƏM-1228</t>
  </si>
  <si>
    <t>RH-1229</t>
  </si>
  <si>
    <t>ZM-1230</t>
  </si>
  <si>
    <t>MI-1231</t>
  </si>
  <si>
    <t>MI-1232</t>
  </si>
  <si>
    <t>AV-1233</t>
  </si>
  <si>
    <t>MI-1234</t>
  </si>
  <si>
    <t>LƏ-1235</t>
  </si>
  <si>
    <t>ZM-1236</t>
  </si>
  <si>
    <t>AV-1237</t>
  </si>
  <si>
    <t>RH-1238</t>
  </si>
  <si>
    <t>LƏ-1239</t>
  </si>
  <si>
    <t>RH-1240</t>
  </si>
  <si>
    <t>MI-1241</t>
  </si>
  <si>
    <t>MI-1242</t>
  </si>
  <si>
    <t>EQ-1243</t>
  </si>
  <si>
    <t>ƏM-1244</t>
  </si>
  <si>
    <t>AV-1245</t>
  </si>
  <si>
    <t>AV-1246</t>
  </si>
  <si>
    <t>AV-1247</t>
  </si>
  <si>
    <t>ƏM-1248</t>
  </si>
  <si>
    <t>EQ-1249</t>
  </si>
  <si>
    <t>NM-1250</t>
  </si>
  <si>
    <t>ƏM-1251</t>
  </si>
  <si>
    <t>ZM-1252</t>
  </si>
  <si>
    <t>MI-1253</t>
  </si>
  <si>
    <t>RH-1254</t>
  </si>
  <si>
    <t>EQ-1255</t>
  </si>
  <si>
    <t>LƏ-1256</t>
  </si>
  <si>
    <t>ZM-1257</t>
  </si>
  <si>
    <t>ZM-1258</t>
  </si>
  <si>
    <t>MI-1259</t>
  </si>
  <si>
    <t>LƏ-1260</t>
  </si>
  <si>
    <t>RH-1261</t>
  </si>
  <si>
    <t>EQ-1262</t>
  </si>
  <si>
    <t>ZM-1263</t>
  </si>
  <si>
    <t>ƏM-1264</t>
  </si>
  <si>
    <t>RH-1265</t>
  </si>
  <si>
    <t>AV-1266</t>
  </si>
  <si>
    <t>ƏM-1267</t>
  </si>
  <si>
    <t>EQ-1268</t>
  </si>
  <si>
    <t>MI-1269</t>
  </si>
  <si>
    <t>NM-1270</t>
  </si>
  <si>
    <t>ƏM-1271</t>
  </si>
  <si>
    <t>RH-1272</t>
  </si>
  <si>
    <t>RH-1273</t>
  </si>
  <si>
    <t>ZM-1274</t>
  </si>
  <si>
    <t>LƏ-1275</t>
  </si>
  <si>
    <t>ƏM-1276</t>
  </si>
  <si>
    <t>NM-1277</t>
  </si>
  <si>
    <t>ƏM-1278</t>
  </si>
  <si>
    <t>ƏM-1279</t>
  </si>
  <si>
    <t>EQ-1280</t>
  </si>
  <si>
    <t>AV-1281</t>
  </si>
  <si>
    <t>MI-1282</t>
  </si>
  <si>
    <t>EQ-1283</t>
  </si>
  <si>
    <t>ƏM-1284</t>
  </si>
  <si>
    <t>EQ-1285</t>
  </si>
  <si>
    <t>ZM-1286</t>
  </si>
  <si>
    <t>ZM-1287</t>
  </si>
  <si>
    <t>ƏM-1288</t>
  </si>
  <si>
    <t>MI-1289</t>
  </si>
  <si>
    <t>ƏM-1290</t>
  </si>
  <si>
    <t>ZM-1291</t>
  </si>
  <si>
    <t>LƏ-1292</t>
  </si>
  <si>
    <t>ZM-1293</t>
  </si>
  <si>
    <t>LƏ-1294</t>
  </si>
  <si>
    <t>NM-1295</t>
  </si>
  <si>
    <t>LƏ-1296</t>
  </si>
  <si>
    <t>MI-1297</t>
  </si>
  <si>
    <t>LƏ-1298</t>
  </si>
  <si>
    <t>ƏM-1299</t>
  </si>
  <si>
    <t>AV-1300</t>
  </si>
  <si>
    <t>AV-1301</t>
  </si>
  <si>
    <t>LƏ-1302</t>
  </si>
  <si>
    <t>MI-1303</t>
  </si>
  <si>
    <t>RH-1304</t>
  </si>
  <si>
    <t>ƏM-1305</t>
  </si>
  <si>
    <t>NM-1306</t>
  </si>
  <si>
    <t>ZM-1307</t>
  </si>
  <si>
    <t>LƏ-1308</t>
  </si>
  <si>
    <t>MI-1309</t>
  </si>
  <si>
    <t>NM-1310</t>
  </si>
  <si>
    <t>AV-1311</t>
  </si>
  <si>
    <t>AV-1312</t>
  </si>
  <si>
    <t>AV-1313</t>
  </si>
  <si>
    <t>EQ-1314</t>
  </si>
  <si>
    <t>ZM-1315</t>
  </si>
  <si>
    <t>ZM-1316</t>
  </si>
  <si>
    <t>EQ-1317</t>
  </si>
  <si>
    <t>RH-1318</t>
  </si>
  <si>
    <t>ƏM-1319</t>
  </si>
  <si>
    <t>AV-1320</t>
  </si>
  <si>
    <t>NM-1321</t>
  </si>
  <si>
    <t>LƏ-1322</t>
  </si>
  <si>
    <t>EQ-1323</t>
  </si>
  <si>
    <t>EQ-1324</t>
  </si>
  <si>
    <t>LƏ-1325</t>
  </si>
  <si>
    <t>LƏ-1326</t>
  </si>
  <si>
    <t>ƏM-1327</t>
  </si>
  <si>
    <t>NM-1328</t>
  </si>
  <si>
    <t>NM-1329</t>
  </si>
  <si>
    <t>ƏM-1330</t>
  </si>
  <si>
    <t>MI-1331</t>
  </si>
  <si>
    <t>ƏM-1332</t>
  </si>
  <si>
    <t>ZM-1333</t>
  </si>
  <si>
    <t>LƏ-1334</t>
  </si>
  <si>
    <t>EQ-1335</t>
  </si>
  <si>
    <t>ƏM-1336</t>
  </si>
  <si>
    <t>MI-1337</t>
  </si>
  <si>
    <t>RH-1338</t>
  </si>
  <si>
    <t>NM-1339</t>
  </si>
  <si>
    <t>LƏ-1340</t>
  </si>
  <si>
    <t>RH-1341</t>
  </si>
  <si>
    <t>AV-1342</t>
  </si>
  <si>
    <t>LƏ-1343</t>
  </si>
  <si>
    <t>LƏ-1344</t>
  </si>
  <si>
    <t>ƏM-1345</t>
  </si>
  <si>
    <t>ZM-1346</t>
  </si>
  <si>
    <t>LƏ-1347</t>
  </si>
  <si>
    <t>RH-1348</t>
  </si>
  <si>
    <t>ZM-1349</t>
  </si>
  <si>
    <t>MI-1350</t>
  </si>
  <si>
    <t>ZM-1351</t>
  </si>
  <si>
    <t>MI-1352</t>
  </si>
  <si>
    <t>RH-1353</t>
  </si>
  <si>
    <t>ƏM-1354</t>
  </si>
  <si>
    <t>EQ-1355</t>
  </si>
  <si>
    <t>RH-1356</t>
  </si>
  <si>
    <t>AV-1357</t>
  </si>
  <si>
    <t>AV-1358</t>
  </si>
  <si>
    <t>LƏ-1359</t>
  </si>
  <si>
    <t>NM-1360</t>
  </si>
  <si>
    <t>MI-1361</t>
  </si>
  <si>
    <t>EQ-1362</t>
  </si>
  <si>
    <t>EQ-1363</t>
  </si>
  <si>
    <t>ƏM-1364</t>
  </si>
  <si>
    <t>AV-1365</t>
  </si>
  <si>
    <t>ZM-1366</t>
  </si>
  <si>
    <t>NM-1367</t>
  </si>
  <si>
    <t>AV-1368</t>
  </si>
  <si>
    <t>ZM-1369</t>
  </si>
  <si>
    <t>EQ-1370</t>
  </si>
  <si>
    <t>LƏ-1371</t>
  </si>
  <si>
    <t>NM-1372</t>
  </si>
  <si>
    <t>ƏM-1373</t>
  </si>
  <si>
    <t>AV-1374</t>
  </si>
  <si>
    <t>RH-1375</t>
  </si>
  <si>
    <t>EQ-1376</t>
  </si>
  <si>
    <t>RH-1377</t>
  </si>
  <si>
    <t>NM-1378</t>
  </si>
  <si>
    <t>ZM-1379</t>
  </si>
  <si>
    <t>NM-1380</t>
  </si>
  <si>
    <t>ZM-1381</t>
  </si>
  <si>
    <t>RH-1382</t>
  </si>
  <si>
    <t>LƏ-1383</t>
  </si>
  <si>
    <t>RH-1384</t>
  </si>
  <si>
    <t>MI-1385</t>
  </si>
  <si>
    <t>LƏ-1386</t>
  </si>
  <si>
    <t>LƏ-1387</t>
  </si>
  <si>
    <t>ƏM-1388</t>
  </si>
  <si>
    <t>LƏ-1389</t>
  </si>
  <si>
    <t>EQ-1390</t>
  </si>
  <si>
    <t>NM-1391</t>
  </si>
  <si>
    <t>MI-1392</t>
  </si>
  <si>
    <t>MI-1393</t>
  </si>
  <si>
    <t>EQ-1394</t>
  </si>
  <si>
    <t>ZM-1395</t>
  </si>
  <si>
    <t>RH-1396</t>
  </si>
  <si>
    <t>AV-1397</t>
  </si>
  <si>
    <t>LƏ-1398</t>
  </si>
  <si>
    <t>RH-1399</t>
  </si>
  <si>
    <t>ƏM-1400</t>
  </si>
  <si>
    <t>MI-1401</t>
  </si>
  <si>
    <t>ZM-1402</t>
  </si>
  <si>
    <t>MI-1403</t>
  </si>
  <si>
    <t>NM-1404</t>
  </si>
  <si>
    <t>ZM-1405</t>
  </si>
  <si>
    <t>MI-1406</t>
  </si>
  <si>
    <t>RH-1407</t>
  </si>
  <si>
    <t>EQ-1408</t>
  </si>
  <si>
    <t>NM-1409</t>
  </si>
  <si>
    <t>MI-1410</t>
  </si>
  <si>
    <t>ƏM-1411</t>
  </si>
  <si>
    <t>MI-1412</t>
  </si>
  <si>
    <t>RH-1413</t>
  </si>
  <si>
    <t>LƏ-1414</t>
  </si>
  <si>
    <t>AV-1415</t>
  </si>
  <si>
    <t>AV-1416</t>
  </si>
  <si>
    <t>EQ-1417</t>
  </si>
  <si>
    <t>RH-1418</t>
  </si>
  <si>
    <t>AV-1419</t>
  </si>
  <si>
    <t>EQ-1420</t>
  </si>
  <si>
    <t>RH-1421</t>
  </si>
  <si>
    <t>AV-1422</t>
  </si>
  <si>
    <t>MI-1423</t>
  </si>
  <si>
    <t>MI-1424</t>
  </si>
  <si>
    <t>ZM-1425</t>
  </si>
  <si>
    <t>MI-1426</t>
  </si>
  <si>
    <t>MI-1427</t>
  </si>
  <si>
    <t>AV-1428</t>
  </si>
  <si>
    <t>RH-1429</t>
  </si>
  <si>
    <t>AV-1430</t>
  </si>
  <si>
    <t>MI-1431</t>
  </si>
  <si>
    <t>NM-1432</t>
  </si>
  <si>
    <t>ZM-1433</t>
  </si>
  <si>
    <t>LƏ-1434</t>
  </si>
  <si>
    <t>AV-1435</t>
  </si>
  <si>
    <t>MI-1436</t>
  </si>
  <si>
    <t>MI-1437</t>
  </si>
  <si>
    <t>RH-1438</t>
  </si>
  <si>
    <t>ƏM-1439</t>
  </si>
  <si>
    <t>ZM-1440</t>
  </si>
  <si>
    <t>RH-1441</t>
  </si>
  <si>
    <t>ZM-1442</t>
  </si>
  <si>
    <t>MI-1443</t>
  </si>
  <si>
    <t>RH-1444</t>
  </si>
  <si>
    <t>RH-1445</t>
  </si>
  <si>
    <t>LƏ-1446</t>
  </si>
  <si>
    <t>ƏM-1447</t>
  </si>
  <si>
    <t>NM-1448</t>
  </si>
  <si>
    <t>MI-1449</t>
  </si>
  <si>
    <t>RH-1450</t>
  </si>
  <si>
    <t>MI-1451</t>
  </si>
  <si>
    <t>EQ-1452</t>
  </si>
  <si>
    <t>AV-1453</t>
  </si>
  <si>
    <t>ZM-1454</t>
  </si>
  <si>
    <t>ƏM-1455</t>
  </si>
  <si>
    <t>AV-1456</t>
  </si>
  <si>
    <t>ZM-1457</t>
  </si>
  <si>
    <t>RH-1458</t>
  </si>
  <si>
    <t>LƏ-1459</t>
  </si>
  <si>
    <t>RH-1460</t>
  </si>
  <si>
    <t>ƏM-1461</t>
  </si>
  <si>
    <t>AV-1462</t>
  </si>
  <si>
    <t>RH-1463</t>
  </si>
  <si>
    <t>LƏ-1464</t>
  </si>
  <si>
    <t>RH-1465</t>
  </si>
  <si>
    <t>MI-1466</t>
  </si>
  <si>
    <t>EQ-1467</t>
  </si>
  <si>
    <t>MI-1468</t>
  </si>
  <si>
    <t>ZM-1469</t>
  </si>
  <si>
    <t>EQ-1470</t>
  </si>
  <si>
    <t>RH-1471</t>
  </si>
  <si>
    <t>NM-1472</t>
  </si>
  <si>
    <t>ZM-1473</t>
  </si>
  <si>
    <t>NM-1474</t>
  </si>
  <si>
    <t>LƏ-1475</t>
  </si>
  <si>
    <t>NM-1476</t>
  </si>
  <si>
    <t>AV-1477</t>
  </si>
  <si>
    <t>RH-1478</t>
  </si>
  <si>
    <t>NM-1479</t>
  </si>
  <si>
    <t>AV-1480</t>
  </si>
  <si>
    <t>NM-1481</t>
  </si>
  <si>
    <t>MI-1482</t>
  </si>
  <si>
    <t>AV-1483</t>
  </si>
  <si>
    <t>ZM-1484</t>
  </si>
  <si>
    <t>AV-1485</t>
  </si>
  <si>
    <t>ƏM-1486</t>
  </si>
  <si>
    <t>ƏM-1487</t>
  </si>
  <si>
    <t>AV-1488</t>
  </si>
  <si>
    <t>MI-1489</t>
  </si>
  <si>
    <t>AV-1490</t>
  </si>
  <si>
    <t>LƏ-1491</t>
  </si>
  <si>
    <t>EQ-1492</t>
  </si>
  <si>
    <t>RH-1493</t>
  </si>
  <si>
    <t>NM-1494</t>
  </si>
  <si>
    <t>LƏ-1495</t>
  </si>
  <si>
    <t>LƏ-1496</t>
  </si>
  <si>
    <t>MI-1497</t>
  </si>
  <si>
    <t>EQ-1498</t>
  </si>
  <si>
    <t>ƏM-1499</t>
  </si>
  <si>
    <t>EQ-1500</t>
  </si>
  <si>
    <t>EQ-1501</t>
  </si>
  <si>
    <t>AV-1502</t>
  </si>
  <si>
    <t>NM-1503</t>
  </si>
  <si>
    <t>ZM-1504</t>
  </si>
  <si>
    <t>EQ-1505</t>
  </si>
  <si>
    <t>LƏ-1506</t>
  </si>
  <si>
    <t>AV-1507</t>
  </si>
  <si>
    <t>ƏM-1508</t>
  </si>
  <si>
    <t>AV-1509</t>
  </si>
  <si>
    <t>ƏM-1510</t>
  </si>
  <si>
    <t>EQ-1511</t>
  </si>
  <si>
    <t>ƏM-1512</t>
  </si>
  <si>
    <t>NM-1513</t>
  </si>
  <si>
    <t>MI-1514</t>
  </si>
  <si>
    <t>ZM-1515</t>
  </si>
  <si>
    <t>MI-1516</t>
  </si>
  <si>
    <t>MI-1517</t>
  </si>
  <si>
    <t>AV-1518</t>
  </si>
  <si>
    <t>ZM-1519</t>
  </si>
  <si>
    <t>AV-1520</t>
  </si>
  <si>
    <t>ƏM-1521</t>
  </si>
  <si>
    <t>ƏM-1522</t>
  </si>
  <si>
    <t>EQ-1523</t>
  </si>
  <si>
    <t>ƏM-1524</t>
  </si>
  <si>
    <t>NM-1525</t>
  </si>
  <si>
    <t>RH-1526</t>
  </si>
  <si>
    <t>AV-1527</t>
  </si>
  <si>
    <t>AV-1528</t>
  </si>
  <si>
    <t>ƏM-1529</t>
  </si>
  <si>
    <t>ƏM-1530</t>
  </si>
  <si>
    <t>NM-1531</t>
  </si>
  <si>
    <t>EQ-1532</t>
  </si>
  <si>
    <t>RH-1533</t>
  </si>
  <si>
    <t>AV-1534</t>
  </si>
  <si>
    <t>LƏ-1535</t>
  </si>
  <si>
    <t>ƏM-1536</t>
  </si>
  <si>
    <t>EQ-1537</t>
  </si>
  <si>
    <t>RH-1538</t>
  </si>
  <si>
    <t>ZM-1539</t>
  </si>
  <si>
    <t>MI-1540</t>
  </si>
  <si>
    <t>ƏM-1541</t>
  </si>
  <si>
    <t>AV-1542</t>
  </si>
  <si>
    <t>MI-1543</t>
  </si>
  <si>
    <t>LƏ-1544</t>
  </si>
  <si>
    <t>NM-1545</t>
  </si>
  <si>
    <t>MI-1546</t>
  </si>
  <si>
    <t>EQ-1547</t>
  </si>
  <si>
    <t>MI-1548</t>
  </si>
  <si>
    <t>ZM-1549</t>
  </si>
  <si>
    <t>EQ-1550</t>
  </si>
  <si>
    <t>ZM-1551</t>
  </si>
  <si>
    <t>RH-1552</t>
  </si>
  <si>
    <t>MI-1553</t>
  </si>
  <si>
    <t>ƏM-1554</t>
  </si>
  <si>
    <t>LƏ-1555</t>
  </si>
  <si>
    <t>AV-1556</t>
  </si>
  <si>
    <t>RH-1557</t>
  </si>
  <si>
    <t>EQ-1558</t>
  </si>
  <si>
    <t>ZM-1559</t>
  </si>
  <si>
    <t>NM-1560</t>
  </si>
  <si>
    <t>EQ-1561</t>
  </si>
  <si>
    <t>NM-1562</t>
  </si>
  <si>
    <t>RH-1563</t>
  </si>
  <si>
    <t>ZM-1564</t>
  </si>
  <si>
    <t>MI-1565</t>
  </si>
  <si>
    <t>ZM-1566</t>
  </si>
  <si>
    <t>AV-1567</t>
  </si>
  <si>
    <t>EQ-1568</t>
  </si>
  <si>
    <t>NM-1569</t>
  </si>
  <si>
    <t>LƏ-1570</t>
  </si>
  <si>
    <t>RH-1571</t>
  </si>
  <si>
    <t>LƏ-1572</t>
  </si>
  <si>
    <t>ƏM-1573</t>
  </si>
  <si>
    <t>MI-1574</t>
  </si>
  <si>
    <t>NM-1575</t>
  </si>
  <si>
    <t>NM-1576</t>
  </si>
  <si>
    <t>AV-1577</t>
  </si>
  <si>
    <t>NM-1578</t>
  </si>
  <si>
    <t>EQ-1579</t>
  </si>
  <si>
    <t>AV-1580</t>
  </si>
  <si>
    <t>ZM-1581</t>
  </si>
  <si>
    <t>MI-1582</t>
  </si>
  <si>
    <t>NM-1583</t>
  </si>
  <si>
    <t>ZM-1584</t>
  </si>
  <si>
    <t>ƏM-1585</t>
  </si>
  <si>
    <t>MI-1586</t>
  </si>
  <si>
    <t>ZM-1587</t>
  </si>
  <si>
    <t>EQ-1588</t>
  </si>
  <si>
    <t>AV-1589</t>
  </si>
  <si>
    <t>EQ-1590</t>
  </si>
  <si>
    <t>ZM-1591</t>
  </si>
  <si>
    <t>MI-1592</t>
  </si>
  <si>
    <t>LƏ-1593</t>
  </si>
  <si>
    <t>MI-1594</t>
  </si>
  <si>
    <t>EQ-1595</t>
  </si>
  <si>
    <t>NM-1596</t>
  </si>
  <si>
    <t>NM-1597</t>
  </si>
  <si>
    <t>EQ-1598</t>
  </si>
  <si>
    <t>ƏM-1599</t>
  </si>
  <si>
    <t>LƏ-1600</t>
  </si>
  <si>
    <t>ZM-1601</t>
  </si>
  <si>
    <t>AV-1602</t>
  </si>
  <si>
    <t>AV-1603</t>
  </si>
  <si>
    <t>AV-1604</t>
  </si>
  <si>
    <t>LƏ-1605</t>
  </si>
  <si>
    <t>AV-1606</t>
  </si>
  <si>
    <t>ZM-1607</t>
  </si>
  <si>
    <t>EQ-1608</t>
  </si>
  <si>
    <t>ZM-1609</t>
  </si>
  <si>
    <t>RH-1610</t>
  </si>
  <si>
    <t>ZM-1611</t>
  </si>
  <si>
    <t>LƏ-1612</t>
  </si>
  <si>
    <t>RH-1613</t>
  </si>
  <si>
    <t>EQ-1614</t>
  </si>
  <si>
    <t>ZM-1615</t>
  </si>
  <si>
    <t>EQ-1616</t>
  </si>
  <si>
    <t>AV-1617</t>
  </si>
  <si>
    <t>ZM-1618</t>
  </si>
  <si>
    <t>MI-1619</t>
  </si>
  <si>
    <t>LƏ-1620</t>
  </si>
  <si>
    <t>LƏ-1621</t>
  </si>
  <si>
    <t>NM-1622</t>
  </si>
  <si>
    <t>RH-1623</t>
  </si>
  <si>
    <t>EQ-1624</t>
  </si>
  <si>
    <t>ZM-1625</t>
  </si>
  <si>
    <t>MI-1626</t>
  </si>
  <si>
    <t>LƏ-1627</t>
  </si>
  <si>
    <t>AV-1628</t>
  </si>
  <si>
    <t>MI-1629</t>
  </si>
  <si>
    <t>ƏM-1630</t>
  </si>
  <si>
    <t>MI-1631</t>
  </si>
  <si>
    <t>AV-1632</t>
  </si>
  <si>
    <t>LƏ-1633</t>
  </si>
  <si>
    <t>NM-1634</t>
  </si>
  <si>
    <t>EQ-1635</t>
  </si>
  <si>
    <t>AV-1636</t>
  </si>
  <si>
    <t>LƏ-1637</t>
  </si>
  <si>
    <t>ZM-1638</t>
  </si>
  <si>
    <t>EQ-1639</t>
  </si>
  <si>
    <t>RH-1640</t>
  </si>
  <si>
    <t>ƏM-1641</t>
  </si>
  <si>
    <t>ƏM-1642</t>
  </si>
  <si>
    <t>AV-1643</t>
  </si>
  <si>
    <t>MI-1644</t>
  </si>
  <si>
    <t>EQ-1645</t>
  </si>
  <si>
    <t>LƏ-1646</t>
  </si>
  <si>
    <t>LƏ-1647</t>
  </si>
  <si>
    <t>AV-1648</t>
  </si>
  <si>
    <t>ZM-1649</t>
  </si>
  <si>
    <t>MI-1650</t>
  </si>
  <si>
    <t>EQ-1651</t>
  </si>
  <si>
    <t>MI-1652</t>
  </si>
  <si>
    <t>LƏ-1653</t>
  </si>
  <si>
    <t>LƏ-1654</t>
  </si>
  <si>
    <t>LƏ-1655</t>
  </si>
  <si>
    <t>AV-1656</t>
  </si>
  <si>
    <t>ZM-1657</t>
  </si>
  <si>
    <t>ZM-1658</t>
  </si>
  <si>
    <t>MI-1659</t>
  </si>
  <si>
    <t>AV-1660</t>
  </si>
  <si>
    <t>ƏM-1661</t>
  </si>
  <si>
    <t>MI-1662</t>
  </si>
  <si>
    <t>NM-1663</t>
  </si>
  <si>
    <t>LƏ-1664</t>
  </si>
  <si>
    <t>NM-1665</t>
  </si>
  <si>
    <t>ƏM-1666</t>
  </si>
  <si>
    <t>AV-1667</t>
  </si>
  <si>
    <t>ƏM-1668</t>
  </si>
  <si>
    <t>NM-1669</t>
  </si>
  <si>
    <t>AV-1670</t>
  </si>
  <si>
    <t>LƏ-1671</t>
  </si>
  <si>
    <t>EQ-1672</t>
  </si>
  <si>
    <t>AV-1673</t>
  </si>
  <si>
    <t>MI-1674</t>
  </si>
  <si>
    <t>NM-1675</t>
  </si>
  <si>
    <t>AV-1676</t>
  </si>
  <si>
    <t>LƏ-1677</t>
  </si>
  <si>
    <t>AV-1678</t>
  </si>
  <si>
    <t>LƏ-1679</t>
  </si>
  <si>
    <t>LƏ-1680</t>
  </si>
  <si>
    <t>EQ-1681</t>
  </si>
  <si>
    <t>AV-1682</t>
  </si>
  <si>
    <t>AV-1683</t>
  </si>
  <si>
    <t>EQ-1684</t>
  </si>
  <si>
    <t>ƏM-1685</t>
  </si>
  <si>
    <t>AV-1686</t>
  </si>
  <si>
    <t>ƏM-1687</t>
  </si>
  <si>
    <t>AV-1688</t>
  </si>
  <si>
    <t>ƏM-1689</t>
  </si>
  <si>
    <t>NM-1690</t>
  </si>
  <si>
    <t>EQ-1691</t>
  </si>
  <si>
    <t>ZM-1692</t>
  </si>
  <si>
    <t>NM-1693</t>
  </si>
  <si>
    <t>NM-1694</t>
  </si>
  <si>
    <t>AV-1695</t>
  </si>
  <si>
    <t>ƏM-1696</t>
  </si>
  <si>
    <t>EQ-1697</t>
  </si>
  <si>
    <t>MI-1698</t>
  </si>
  <si>
    <t>MI-1699</t>
  </si>
  <si>
    <t>ƏM-1700</t>
  </si>
  <si>
    <t>NM-1701</t>
  </si>
  <si>
    <t>AV-1702</t>
  </si>
  <si>
    <t>LƏ-1703</t>
  </si>
  <si>
    <t>AV-1704</t>
  </si>
  <si>
    <t>AV-1705</t>
  </si>
  <si>
    <t>EQ-1706</t>
  </si>
  <si>
    <t>AV-1707</t>
  </si>
  <si>
    <t>AV-1708</t>
  </si>
  <si>
    <t>NM-1709</t>
  </si>
  <si>
    <t>ƏM-1710</t>
  </si>
  <si>
    <t>LƏ-1711</t>
  </si>
  <si>
    <t>EQ-1712</t>
  </si>
  <si>
    <t>NM-1713</t>
  </si>
  <si>
    <t>MI-1714</t>
  </si>
  <si>
    <t>RH-1715</t>
  </si>
  <si>
    <t>MI-1716</t>
  </si>
  <si>
    <t>NM-1717</t>
  </si>
  <si>
    <t>AV-1718</t>
  </si>
  <si>
    <t>NM-1719</t>
  </si>
  <si>
    <t>LƏ-1720</t>
  </si>
  <si>
    <t>AV-1721</t>
  </si>
  <si>
    <t>RH-1722</t>
  </si>
  <si>
    <t>NM-1723</t>
  </si>
  <si>
    <t>ZM-1724</t>
  </si>
  <si>
    <t>ƏM-1725</t>
  </si>
  <si>
    <t>AV-1726</t>
  </si>
  <si>
    <t>EQ-1727</t>
  </si>
  <si>
    <t>ƏM-1728</t>
  </si>
  <si>
    <t>LƏ-1729</t>
  </si>
  <si>
    <t>RH-1730</t>
  </si>
  <si>
    <t>NM-1731</t>
  </si>
  <si>
    <t>ƏM-1732</t>
  </si>
  <si>
    <t>MI-1733</t>
  </si>
  <si>
    <t>AV-1734</t>
  </si>
  <si>
    <t>RH-1735</t>
  </si>
  <si>
    <t>RH-1736</t>
  </si>
  <si>
    <t>MI-1737</t>
  </si>
  <si>
    <t>MI-1738</t>
  </si>
  <si>
    <t>MI-1739</t>
  </si>
  <si>
    <t>NM-1740</t>
  </si>
  <si>
    <t>RH-1741</t>
  </si>
  <si>
    <t>MI-1742</t>
  </si>
  <si>
    <t>ƏM-1743</t>
  </si>
  <si>
    <t>LƏ-1744</t>
  </si>
  <si>
    <t>RH-1745</t>
  </si>
  <si>
    <t>LƏ-1746</t>
  </si>
  <si>
    <t>NM-1747</t>
  </si>
  <si>
    <t>NM-1748</t>
  </si>
  <si>
    <t>ƏM-1749</t>
  </si>
  <si>
    <t>ZM-1750</t>
  </si>
  <si>
    <t>ƏM-1751</t>
  </si>
  <si>
    <t>AV-1752</t>
  </si>
  <si>
    <t>NM-1753</t>
  </si>
  <si>
    <t>EQ-1754</t>
  </si>
  <si>
    <t>AV-1755</t>
  </si>
  <si>
    <t>RH-1756</t>
  </si>
  <si>
    <t>AV-1757</t>
  </si>
  <si>
    <t>ZM-1758</t>
  </si>
  <si>
    <t>MI-1759</t>
  </si>
  <si>
    <t>ZM-1760</t>
  </si>
  <si>
    <t>LƏ-1761</t>
  </si>
  <si>
    <t>NM-1762</t>
  </si>
  <si>
    <t>NM-1763</t>
  </si>
  <si>
    <t>NM-1764</t>
  </si>
  <si>
    <t>MI-1765</t>
  </si>
  <si>
    <t>LƏ-1766</t>
  </si>
  <si>
    <t>RH-1767</t>
  </si>
  <si>
    <t>LƏ-1768</t>
  </si>
  <si>
    <t>ZM-1769</t>
  </si>
  <si>
    <t>EQ-1770</t>
  </si>
  <si>
    <t>RH-1771</t>
  </si>
  <si>
    <t>ƏM-1772</t>
  </si>
  <si>
    <t>RH-1773</t>
  </si>
  <si>
    <t>ZM-1774</t>
  </si>
  <si>
    <t>AV-1775</t>
  </si>
  <si>
    <t>ƏM-1776</t>
  </si>
  <si>
    <t>ZM-1777</t>
  </si>
  <si>
    <t>ƏM-1778</t>
  </si>
  <si>
    <t>NM-1779</t>
  </si>
  <si>
    <t>NM-1780</t>
  </si>
  <si>
    <t>AV-1781</t>
  </si>
  <si>
    <t>ƏM-1782</t>
  </si>
  <si>
    <t>EQ-1783</t>
  </si>
  <si>
    <t>MI-1784</t>
  </si>
  <si>
    <t>ZM-1785</t>
  </si>
  <si>
    <t>ZM-1786</t>
  </si>
  <si>
    <t>LƏ-1787</t>
  </si>
  <si>
    <t>AV-1788</t>
  </si>
  <si>
    <t>ZM-1789</t>
  </si>
  <si>
    <t>LƏ-1790</t>
  </si>
  <si>
    <t>LƏ-1791</t>
  </si>
  <si>
    <t>NM-1792</t>
  </si>
  <si>
    <t>EQ-1793</t>
  </si>
  <si>
    <t>ƏM-1794</t>
  </si>
  <si>
    <t>EQ-1795</t>
  </si>
  <si>
    <t>RH-1796</t>
  </si>
  <si>
    <t>AV-1797</t>
  </si>
  <si>
    <t>RH-1798</t>
  </si>
  <si>
    <t>ƏM-1799</t>
  </si>
  <si>
    <t>EQ-1800</t>
  </si>
  <si>
    <t>AV-1801</t>
  </si>
  <si>
    <t>LƏ-1802</t>
  </si>
  <si>
    <t>LƏ-1803</t>
  </si>
  <si>
    <t>ƏM-1804</t>
  </si>
  <si>
    <t>EQ-1805</t>
  </si>
  <si>
    <t>LƏ-1806</t>
  </si>
  <si>
    <t>RH-1807</t>
  </si>
  <si>
    <t>ZM-1808</t>
  </si>
  <si>
    <t>ZM-1809</t>
  </si>
  <si>
    <t>ƏM-1810</t>
  </si>
  <si>
    <t>ƏM-1811</t>
  </si>
  <si>
    <t>NM-1812</t>
  </si>
  <si>
    <t>MI-1813</t>
  </si>
  <si>
    <t>LƏ-1814</t>
  </si>
  <si>
    <t>LƏ-1815</t>
  </si>
  <si>
    <t>EQ-1816</t>
  </si>
  <si>
    <t>MI-1817</t>
  </si>
  <si>
    <t>LƏ-1818</t>
  </si>
  <si>
    <t>NM-1819</t>
  </si>
  <si>
    <t>EQ-1820</t>
  </si>
  <si>
    <t>ZM-1821</t>
  </si>
  <si>
    <t>ZM-1822</t>
  </si>
  <si>
    <t>LƏ-1823</t>
  </si>
  <si>
    <t>LƏ-1824</t>
  </si>
  <si>
    <t>MI-1825</t>
  </si>
  <si>
    <t>ƏM-1826</t>
  </si>
  <si>
    <t>NM-1827</t>
  </si>
  <si>
    <t>MI-1828</t>
  </si>
  <si>
    <t>AV-1829</t>
  </si>
  <si>
    <t>NM-1830</t>
  </si>
  <si>
    <t>LƏ-1831</t>
  </si>
  <si>
    <t>EQ-1832</t>
  </si>
  <si>
    <t>MI-1833</t>
  </si>
  <si>
    <t>ZM-1834</t>
  </si>
  <si>
    <t>AV-1835</t>
  </si>
  <si>
    <t>EQ-1836</t>
  </si>
  <si>
    <t>MI-1837</t>
  </si>
  <si>
    <t>ƏM-1838</t>
  </si>
  <si>
    <t>RH-1839</t>
  </si>
  <si>
    <t>MI-1840</t>
  </si>
  <si>
    <t>ƏM-1841</t>
  </si>
  <si>
    <t>LƏ-1842</t>
  </si>
  <si>
    <t>LƏ-1843</t>
  </si>
  <si>
    <t>AV-1844</t>
  </si>
  <si>
    <t>ƏM-1845</t>
  </si>
  <si>
    <t>ƏM-1846</t>
  </si>
  <si>
    <t>EQ-1847</t>
  </si>
  <si>
    <t>MI-1848</t>
  </si>
  <si>
    <t>LƏ-1849</t>
  </si>
  <si>
    <t>MI-1850</t>
  </si>
  <si>
    <t>LƏ-1851</t>
  </si>
  <si>
    <t>ZM-1852</t>
  </si>
  <si>
    <t>LƏ-1853</t>
  </si>
  <si>
    <t>ƏM-1854</t>
  </si>
  <si>
    <t>ZM-1855</t>
  </si>
  <si>
    <t>EQ-1856</t>
  </si>
  <si>
    <t>ƏM-1857</t>
  </si>
  <si>
    <t>EQ-1858</t>
  </si>
  <si>
    <t>AV-1859</t>
  </si>
  <si>
    <t>NM-1860</t>
  </si>
  <si>
    <t>EQ-1861</t>
  </si>
  <si>
    <t>LƏ-1862</t>
  </si>
  <si>
    <t>EQ-1863</t>
  </si>
  <si>
    <t>EQ-1864</t>
  </si>
  <si>
    <t>NM-1865</t>
  </si>
  <si>
    <t>NM-1866</t>
  </si>
  <si>
    <t>EQ-1867</t>
  </si>
  <si>
    <t>AV-1868</t>
  </si>
  <si>
    <t>ƏM-1869</t>
  </si>
  <si>
    <t>ƏM-1870</t>
  </si>
  <si>
    <t>ƏM-1871</t>
  </si>
  <si>
    <t>EQ-1872</t>
  </si>
  <si>
    <t>ZM-1873</t>
  </si>
  <si>
    <t>ƏM-1874</t>
  </si>
  <si>
    <t>ƏM-1875</t>
  </si>
  <si>
    <t>EQ-1876</t>
  </si>
  <si>
    <t>NM-1877</t>
  </si>
  <si>
    <t>RH-1878</t>
  </si>
  <si>
    <t>EQ-1879</t>
  </si>
  <si>
    <t>MI-1880</t>
  </si>
  <si>
    <t>AV-1881</t>
  </si>
  <si>
    <t>EQ-1882</t>
  </si>
  <si>
    <t>NM-1883</t>
  </si>
  <si>
    <t>AV-1884</t>
  </si>
  <si>
    <t>ZM-1885</t>
  </si>
  <si>
    <t>ƏM-1886</t>
  </si>
  <si>
    <t>AV-1887</t>
  </si>
  <si>
    <t>EQ-1888</t>
  </si>
  <si>
    <t>NM-1889</t>
  </si>
  <si>
    <t>ƏM-1890</t>
  </si>
  <si>
    <t>LƏ-1891</t>
  </si>
  <si>
    <t>RH-1892</t>
  </si>
  <si>
    <t>EQ-1893</t>
  </si>
  <si>
    <t>AV-1894</t>
  </si>
  <si>
    <t>NM-1895</t>
  </si>
  <si>
    <t>EQ-1896</t>
  </si>
  <si>
    <t>MI-1897</t>
  </si>
  <si>
    <t>RH-1898</t>
  </si>
  <si>
    <t>AV-1899</t>
  </si>
  <si>
    <t>LƏ-1900</t>
  </si>
  <si>
    <t>NM-1901</t>
  </si>
  <si>
    <t>ƏM-1902</t>
  </si>
  <si>
    <t>AV-1903</t>
  </si>
  <si>
    <t>LƏ-1904</t>
  </si>
  <si>
    <t>LƏ-1905</t>
  </si>
  <si>
    <t>AV-1906</t>
  </si>
  <si>
    <t>RH-1907</t>
  </si>
  <si>
    <t>NM-1908</t>
  </si>
  <si>
    <t>ZM-1909</t>
  </si>
  <si>
    <t>ZM-1910</t>
  </si>
  <si>
    <t>ZM-1911</t>
  </si>
  <si>
    <t>ƏM-1912</t>
  </si>
  <si>
    <t>LƏ-1913</t>
  </si>
  <si>
    <t>ƏM-1914</t>
  </si>
  <si>
    <t>ZM-1915</t>
  </si>
  <si>
    <t>AV-1916</t>
  </si>
  <si>
    <t>RH-1917</t>
  </si>
  <si>
    <t>LƏ-1918</t>
  </si>
  <si>
    <t>LƏ-1919</t>
  </si>
  <si>
    <t>ƏM-1920</t>
  </si>
  <si>
    <t>ZM-1921</t>
  </si>
  <si>
    <t>AV-1922</t>
  </si>
  <si>
    <t>NM-1923</t>
  </si>
  <si>
    <t>EQ-1924</t>
  </si>
  <si>
    <t>LƏ-1925</t>
  </si>
  <si>
    <t>ƏM-1926</t>
  </si>
  <si>
    <t>ZM-1927</t>
  </si>
  <si>
    <t>LƏ-1928</t>
  </si>
  <si>
    <t>MI-1929</t>
  </si>
  <si>
    <t>NM-1930</t>
  </si>
  <si>
    <t>MI-1931</t>
  </si>
  <si>
    <t>ZM-1932</t>
  </si>
  <si>
    <t>MI-1933</t>
  </si>
  <si>
    <t>ZM-1934</t>
  </si>
  <si>
    <t>LƏ-1935</t>
  </si>
  <si>
    <t>NM-1936</t>
  </si>
  <si>
    <t>RH-1937</t>
  </si>
  <si>
    <t>LƏ-1938</t>
  </si>
  <si>
    <t>NM-1939</t>
  </si>
  <si>
    <t>ƏM-1940</t>
  </si>
  <si>
    <t>ZM-1941</t>
  </si>
  <si>
    <t>NM-1942</t>
  </si>
  <si>
    <t>ƏM-1943</t>
  </si>
  <si>
    <t>RH-1944</t>
  </si>
  <si>
    <t>LƏ-1945</t>
  </si>
  <si>
    <t>NM-1946</t>
  </si>
  <si>
    <t>AV-1947</t>
  </si>
  <si>
    <t>ZM-1948</t>
  </si>
  <si>
    <t>EQ-1949</t>
  </si>
  <si>
    <t>AV-1950</t>
  </si>
  <si>
    <t>Kuryer Qeydi</t>
  </si>
  <si>
    <t>Maya dəyəri</t>
  </si>
  <si>
    <t>Satış Qiyməti</t>
  </si>
  <si>
    <t>Yekun Satış Məbləği</t>
  </si>
  <si>
    <t>Xalis Mənfəət</t>
  </si>
  <si>
    <t>Dinamik Endirim</t>
  </si>
  <si>
    <t>Son Ödəniş tarixi</t>
  </si>
  <si>
    <t>Həftənin Günü</t>
  </si>
  <si>
    <t>Baki filialında komputer satışının cəmi</t>
  </si>
  <si>
    <t>Gəncə filialında nəğd neçə tel satılıb</t>
  </si>
  <si>
    <t>Kreditlə edilən satışın ortalaması</t>
  </si>
  <si>
    <t>Row Labels</t>
  </si>
  <si>
    <t>Grand Total</t>
  </si>
  <si>
    <t>Column Labels</t>
  </si>
  <si>
    <t>Sum of Yekun Satış Məbləği</t>
  </si>
  <si>
    <t>Sum of Xalis Mənfəət</t>
  </si>
  <si>
    <t>Jan</t>
  </si>
  <si>
    <t>Feb</t>
  </si>
  <si>
    <t>Mar</t>
  </si>
  <si>
    <t>Apr</t>
  </si>
  <si>
    <t>May</t>
  </si>
  <si>
    <t>Jun</t>
  </si>
  <si>
    <t>Sum of Satış Miqdarı</t>
  </si>
  <si>
    <t>Average of Satış Miqdarı2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</si>
</sst>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9\9\4000000000"/>
    <numFmt numFmtId="167" formatCode="dddd"/>
  </numFmts>
  <fonts count="7">
    <font>
      <sz val="11"/>
      <color theme="1"/>
      <name val="Calibri"/>
      <family val="2"/>
      <scheme val="minor"/>
    </font>
    <font>
      <b/>
      <sz val="11"/>
      <color rgb="FF1F1F1F"/>
      <name val="Calibri"/>
      <family val="2"/>
    </font>
    <font>
      <sz val="11"/>
      <color rgb="FF1F1F1F"/>
      <name val="Calibri"/>
      <family val="2"/>
    </font>
    <font>
      <b/>
      <i/>
      <sz val="11"/>
      <color theme="1"/>
      <name val="Calibri"/>
      <family val="2"/>
      <scheme val="minor"/>
    </font>
    <font>
      <b/>
      <i/>
      <sz val="14"/>
      <color theme="1"/>
      <name val="Calibri"/>
      <family val="2"/>
      <scheme val="minor"/>
    </font>
    <font>
      <b/>
      <i/>
      <sz val="11"/>
      <color theme="1"/>
      <name val="Calibri (Body)"/>
    </font>
    <font>
      <sz val="18"/>
      <color rgb="FF000000"/>
      <name val="-webkit-standard"/>
    </font>
  </fonts>
  <fills count="2">
    <fill>
      <patternFill patternType="none"/>
    </fill>
    <fill>
      <patternFill patternType="gray125"/>
    </fill>
  </fills>
  <borders count="5">
    <border>
      <left/>
      <right/>
      <top/>
      <bottom/>
      <diagonal/>
    </border>
    <border>
      <left style="medium">
        <color rgb="FFC4C7C5"/>
      </left>
      <right style="medium">
        <color rgb="FFC4C7C5"/>
      </right>
      <top style="medium">
        <color rgb="FFC4C7C5"/>
      </top>
      <bottom style="medium">
        <color rgb="FFC4C7C5"/>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1">
    <xf numFmtId="0" fontId="0" fillId="0" borderId="0"/>
  </cellStyleXfs>
  <cellXfs count="23">
    <xf numFmtId="0" fontId="0" fillId="0" borderId="0" xfId="0"/>
    <xf numFmtId="0" fontId="1" fillId="0" borderId="1" xfId="0" applyFont="1" applyBorder="1" applyAlignment="1">
      <alignment vertical="center" readingOrder="1"/>
    </xf>
    <xf numFmtId="0" fontId="2" fillId="0" borderId="1" xfId="0" applyFont="1" applyBorder="1" applyAlignment="1">
      <alignment vertical="center" readingOrder="1"/>
    </xf>
    <xf numFmtId="0" fontId="3" fillId="0" borderId="0" xfId="0" applyFont="1"/>
    <xf numFmtId="0" fontId="3" fillId="0" borderId="2" xfId="0" applyFont="1" applyBorder="1"/>
    <xf numFmtId="0" fontId="0" fillId="0" borderId="2" xfId="0" applyBorder="1"/>
    <xf numFmtId="0" fontId="0" fillId="0" borderId="3" xfId="0" applyFill="1" applyBorder="1"/>
    <xf numFmtId="14" fontId="3" fillId="0" borderId="2" xfId="0" applyNumberFormat="1" applyFont="1" applyBorder="1"/>
    <xf numFmtId="14" fontId="0" fillId="0" borderId="2" xfId="0" applyNumberFormat="1" applyBorder="1"/>
    <xf numFmtId="14" fontId="0" fillId="0" borderId="0" xfId="0" applyNumberFormat="1"/>
    <xf numFmtId="0" fontId="0" fillId="0" borderId="2" xfId="0" applyFill="1" applyBorder="1"/>
    <xf numFmtId="0" fontId="3" fillId="0" borderId="0" xfId="0" applyFont="1" applyAlignment="1">
      <alignment horizontal="center"/>
    </xf>
    <xf numFmtId="165" fontId="3" fillId="0" borderId="4" xfId="0" applyNumberFormat="1" applyFont="1" applyBorder="1"/>
    <xf numFmtId="165" fontId="0" fillId="0" borderId="4" xfId="0" applyNumberFormat="1" applyBorder="1"/>
    <xf numFmtId="165" fontId="0" fillId="0" borderId="0" xfId="0" applyNumberFormat="1"/>
    <xf numFmtId="167" fontId="3" fillId="0" borderId="0" xfId="0" applyNumberFormat="1" applyFont="1"/>
    <xf numFmtId="167" fontId="0" fillId="0" borderId="0" xfId="0" applyNumberFormat="1"/>
    <xf numFmtId="0" fontId="0" fillId="0" borderId="0" xfId="0" applyNumberFormat="1"/>
    <xf numFmtId="0" fontId="4" fillId="0" borderId="0" xfId="0" applyFont="1"/>
    <xf numFmtId="0" fontId="5" fillId="0" borderId="0" xfId="0" applyFont="1"/>
    <xf numFmtId="0" fontId="0" fillId="0" borderId="0" xfId="0" pivotButton="1"/>
    <xf numFmtId="0" fontId="0" fillId="0" borderId="0" xfId="0" applyAlignment="1">
      <alignment horizontal="left"/>
    </xf>
    <xf numFmtId="0" fontId="6" fillId="0" borderId="0" xfId="0" applyFont="1"/>
  </cellXfs>
  <cellStyles count="1">
    <cellStyle name="Normal" xfId="0" builtinId="0"/>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952500</xdr:colOff>
      <xdr:row>13</xdr:row>
      <xdr:rowOff>139701</xdr:rowOff>
    </xdr:from>
    <xdr:to>
      <xdr:col>5</xdr:col>
      <xdr:colOff>50800</xdr:colOff>
      <xdr:row>22</xdr:row>
      <xdr:rowOff>165100</xdr:rowOff>
    </xdr:to>
    <mc:AlternateContent xmlns:mc="http://schemas.openxmlformats.org/markup-compatibility/2006">
      <mc:Choice xmlns:a14="http://schemas.microsoft.com/office/drawing/2010/main" Requires="a14">
        <xdr:graphicFrame macro="">
          <xdr:nvGraphicFramePr>
            <xdr:cNvPr id="2" name="Filial">
              <a:extLst>
                <a:ext uri="{FF2B5EF4-FFF2-40B4-BE49-F238E27FC236}">
                  <a16:creationId xmlns:a16="http://schemas.microsoft.com/office/drawing/2014/main" id="{146A5082-2F58-F882-9EBD-1C48C7014A0B}"/>
                </a:ext>
              </a:extLst>
            </xdr:cNvPr>
            <xdr:cNvGraphicFramePr/>
          </xdr:nvGraphicFramePr>
          <xdr:xfrm>
            <a:off x="0" y="0"/>
            <a:ext cx="0" cy="0"/>
          </xdr:xfrm>
          <a:graphic>
            <a:graphicData uri="http://schemas.microsoft.com/office/drawing/2010/slicer">
              <sle:slicer xmlns:sle="http://schemas.microsoft.com/office/drawing/2010/slicer" name="Filial"/>
            </a:graphicData>
          </a:graphic>
        </xdr:graphicFrame>
      </mc:Choice>
      <mc:Fallback>
        <xdr:sp macro="" textlink="">
          <xdr:nvSpPr>
            <xdr:cNvPr id="0" name=""/>
            <xdr:cNvSpPr>
              <a:spLocks noTextEdit="1"/>
            </xdr:cNvSpPr>
          </xdr:nvSpPr>
          <xdr:spPr>
            <a:xfrm>
              <a:off x="3568700" y="2616201"/>
              <a:ext cx="1981200" cy="1739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12700</xdr:colOff>
      <xdr:row>27</xdr:row>
      <xdr:rowOff>25400</xdr:rowOff>
    </xdr:from>
    <xdr:to>
      <xdr:col>9</xdr:col>
      <xdr:colOff>215900</xdr:colOff>
      <xdr:row>34</xdr:row>
      <xdr:rowOff>12700</xdr:rowOff>
    </xdr:to>
    <mc:AlternateContent xmlns:mc="http://schemas.openxmlformats.org/markup-compatibility/2006">
      <mc:Choice xmlns:tsle="http://schemas.microsoft.com/office/drawing/2012/timeslicer" Requires="tsle">
        <xdr:graphicFrame macro="">
          <xdr:nvGraphicFramePr>
            <xdr:cNvPr id="3" name="Tarix">
              <a:extLst>
                <a:ext uri="{FF2B5EF4-FFF2-40B4-BE49-F238E27FC236}">
                  <a16:creationId xmlns:a16="http://schemas.microsoft.com/office/drawing/2014/main" id="{F37EAB16-9467-5F02-9E61-9BE98121A82A}"/>
                </a:ext>
              </a:extLst>
            </xdr:cNvPr>
            <xdr:cNvGraphicFramePr/>
          </xdr:nvGraphicFramePr>
          <xdr:xfrm>
            <a:off x="0" y="0"/>
            <a:ext cx="0" cy="0"/>
          </xdr:xfrm>
          <a:graphic>
            <a:graphicData uri="http://schemas.microsoft.com/office/drawing/2012/timeslicer">
              <tsle:timeslicer xmlns:tsle="http://schemas.microsoft.com/office/drawing/2012/timeslicer" name="Tarix"/>
            </a:graphicData>
          </a:graphic>
        </xdr:graphicFrame>
      </mc:Choice>
      <mc:Fallback>
        <xdr:sp macro="" textlink="">
          <xdr:nvSpPr>
            <xdr:cNvPr id="0" name=""/>
            <xdr:cNvSpPr>
              <a:spLocks noTextEdit="1"/>
            </xdr:cNvSpPr>
          </xdr:nvSpPr>
          <xdr:spPr>
            <a:xfrm>
              <a:off x="4851400" y="5168900"/>
              <a:ext cx="41021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86.836902777781" createdVersion="8" refreshedVersion="8" minRefreshableVersion="3" recordCount="950" xr:uid="{92D47620-63E3-6B41-B108-AE6510331796}">
  <cacheSource type="worksheet">
    <worksheetSource ref="A1:R951" sheet="Data"/>
  </cacheSource>
  <cacheFields count="19">
    <cacheField name="Satış ID" numFmtId="0">
      <sharedItems/>
    </cacheField>
    <cacheField name="Tarix" numFmtId="14">
      <sharedItems containsSemiMixedTypes="0" containsNonDate="0" containsDate="1" containsString="0" minDate="2026-01-08T00:00:00" maxDate="2026-06-07T00:00:00" count="150">
        <d v="2026-04-22T00:00:00"/>
        <d v="2026-05-31T00:00:00"/>
        <d v="2026-01-27T00:00:00"/>
        <d v="2026-05-29T00:00:00"/>
        <d v="2026-04-28T00:00:00"/>
        <d v="2026-01-21T00:00:00"/>
        <d v="2026-05-22T00:00:00"/>
        <d v="2026-05-13T00:00:00"/>
        <d v="2026-03-04T00:00:00"/>
        <d v="2026-01-22T00:00:00"/>
        <d v="2026-01-20T00:00:00"/>
        <d v="2026-02-25T00:00:00"/>
        <d v="2026-04-27T00:00:00"/>
        <d v="2026-04-13T00:00:00"/>
        <d v="2026-03-17T00:00:00"/>
        <d v="2026-05-21T00:00:00"/>
        <d v="2026-06-04T00:00:00"/>
        <d v="2026-06-06T00:00:00"/>
        <d v="2026-05-09T00:00:00"/>
        <d v="2026-01-18T00:00:00"/>
        <d v="2026-03-25T00:00:00"/>
        <d v="2026-02-08T00:00:00"/>
        <d v="2026-01-13T00:00:00"/>
        <d v="2026-03-27T00:00:00"/>
        <d v="2026-03-16T00:00:00"/>
        <d v="2026-02-26T00:00:00"/>
        <d v="2026-02-22T00:00:00"/>
        <d v="2026-04-03T00:00:00"/>
        <d v="2026-01-25T00:00:00"/>
        <d v="2026-05-04T00:00:00"/>
        <d v="2026-02-24T00:00:00"/>
        <d v="2026-05-07T00:00:00"/>
        <d v="2026-03-29T00:00:00"/>
        <d v="2026-03-19T00:00:00"/>
        <d v="2026-04-08T00:00:00"/>
        <d v="2026-01-16T00:00:00"/>
        <d v="2026-05-26T00:00:00"/>
        <d v="2026-05-05T00:00:00"/>
        <d v="2026-03-21T00:00:00"/>
        <d v="2026-02-23T00:00:00"/>
        <d v="2026-02-06T00:00:00"/>
        <d v="2026-01-26T00:00:00"/>
        <d v="2026-04-07T00:00:00"/>
        <d v="2026-01-23T00:00:00"/>
        <d v="2026-05-02T00:00:00"/>
        <d v="2026-03-11T00:00:00"/>
        <d v="2026-04-29T00:00:00"/>
        <d v="2026-04-26T00:00:00"/>
        <d v="2026-05-15T00:00:00"/>
        <d v="2026-01-10T00:00:00"/>
        <d v="2026-01-28T00:00:00"/>
        <d v="2026-01-31T00:00:00"/>
        <d v="2026-05-08T00:00:00"/>
        <d v="2026-05-11T00:00:00"/>
        <d v="2026-01-11T00:00:00"/>
        <d v="2026-06-02T00:00:00"/>
        <d v="2026-03-15T00:00:00"/>
        <d v="2026-03-12T00:00:00"/>
        <d v="2026-04-06T00:00:00"/>
        <d v="2026-04-11T00:00:00"/>
        <d v="2026-02-14T00:00:00"/>
        <d v="2026-04-25T00:00:00"/>
        <d v="2026-05-24T00:00:00"/>
        <d v="2026-03-24T00:00:00"/>
        <d v="2026-03-06T00:00:00"/>
        <d v="2026-04-04T00:00:00"/>
        <d v="2026-06-05T00:00:00"/>
        <d v="2026-02-16T00:00:00"/>
        <d v="2026-02-12T00:00:00"/>
        <d v="2026-02-18T00:00:00"/>
        <d v="2026-04-30T00:00:00"/>
        <d v="2026-01-19T00:00:00"/>
        <d v="2026-02-13T00:00:00"/>
        <d v="2026-04-14T00:00:00"/>
        <d v="2026-05-17T00:00:00"/>
        <d v="2026-05-20T00:00:00"/>
        <d v="2026-04-02T00:00:00"/>
        <d v="2026-02-07T00:00:00"/>
        <d v="2026-03-09T00:00:00"/>
        <d v="2026-03-28T00:00:00"/>
        <d v="2026-02-20T00:00:00"/>
        <d v="2026-03-01T00:00:00"/>
        <d v="2026-04-24T00:00:00"/>
        <d v="2026-01-30T00:00:00"/>
        <d v="2026-04-12T00:00:00"/>
        <d v="2026-04-23T00:00:00"/>
        <d v="2026-04-19T00:00:00"/>
        <d v="2026-02-11T00:00:00"/>
        <d v="2026-01-12T00:00:00"/>
        <d v="2026-03-08T00:00:00"/>
        <d v="2026-03-22T00:00:00"/>
        <d v="2026-03-20T00:00:00"/>
        <d v="2026-03-07T00:00:00"/>
        <d v="2026-02-09T00:00:00"/>
        <d v="2026-04-05T00:00:00"/>
        <d v="2026-01-24T00:00:00"/>
        <d v="2026-03-05T00:00:00"/>
        <d v="2026-01-14T00:00:00"/>
        <d v="2026-03-13T00:00:00"/>
        <d v="2026-02-10T00:00:00"/>
        <d v="2026-03-31T00:00:00"/>
        <d v="2026-05-03T00:00:00"/>
        <d v="2026-03-18T00:00:00"/>
        <d v="2026-05-06T00:00:00"/>
        <d v="2026-02-03T00:00:00"/>
        <d v="2026-03-23T00:00:00"/>
        <d v="2026-02-05T00:00:00"/>
        <d v="2026-04-21T00:00:00"/>
        <d v="2026-03-30T00:00:00"/>
        <d v="2026-04-09T00:00:00"/>
        <d v="2026-04-18T00:00:00"/>
        <d v="2026-04-17T00:00:00"/>
        <d v="2026-04-16T00:00:00"/>
        <d v="2026-02-28T00:00:00"/>
        <d v="2026-05-12T00:00:00"/>
        <d v="2026-05-01T00:00:00"/>
        <d v="2026-03-14T00:00:00"/>
        <d v="2026-05-27T00:00:00"/>
        <d v="2026-05-16T00:00:00"/>
        <d v="2026-03-10T00:00:00"/>
        <d v="2026-05-14T00:00:00"/>
        <d v="2026-05-30T00:00:00"/>
        <d v="2026-06-01T00:00:00"/>
        <d v="2026-02-01T00:00:00"/>
        <d v="2026-01-17T00:00:00"/>
        <d v="2026-02-21T00:00:00"/>
        <d v="2026-04-10T00:00:00"/>
        <d v="2026-02-04T00:00:00"/>
        <d v="2026-06-03T00:00:00"/>
        <d v="2026-02-02T00:00:00"/>
        <d v="2026-03-02T00:00:00"/>
        <d v="2026-05-28T00:00:00"/>
        <d v="2026-05-10T00:00:00"/>
        <d v="2026-01-15T00:00:00"/>
        <d v="2026-04-15T00:00:00"/>
        <d v="2026-05-23T00:00:00"/>
        <d v="2026-02-15T00:00:00"/>
        <d v="2026-02-27T00:00:00"/>
        <d v="2026-05-19T00:00:00"/>
        <d v="2026-01-08T00:00:00"/>
        <d v="2026-05-25T00:00:00"/>
        <d v="2026-04-20T00:00:00"/>
        <d v="2026-03-03T00:00:00"/>
        <d v="2026-04-01T00:00:00"/>
        <d v="2026-05-18T00:00:00"/>
        <d v="2026-01-29T00:00:00"/>
        <d v="2026-02-17T00:00:00"/>
        <d v="2026-02-19T00:00:00"/>
        <d v="2026-01-09T00:00:00"/>
        <d v="2026-03-26T00:00:00"/>
      </sharedItems>
      <fieldGroup par="18" base="1">
        <rangePr groupBy="days" startDate="2026-01-08T00:00:00" endDate="2026-06-07T00:00:00"/>
        <groupItems count="368">
          <s v="&lt;08.01.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6.26"/>
        </groupItems>
      </fieldGroup>
    </cacheField>
    <cacheField name="Satıcı adı" numFmtId="0">
      <sharedItems count="8">
        <s v="Ramil Həsənov"/>
        <s v="Zaur Mustafayev"/>
        <s v="Murad Ismayılov"/>
        <s v="Nərgin Məmmədova"/>
        <s v="Elnur Qasımov"/>
        <s v="Əli Məmmədov"/>
        <s v="Aysel Vəliyeva"/>
        <s v="Leyla Əliyeva"/>
      </sharedItems>
    </cacheField>
    <cacheField name="Məhsul Kateqoriyası" numFmtId="0">
      <sharedItems count="4">
        <s v="Kompüter"/>
        <s v="Aksesuar"/>
        <s v="Planşet"/>
        <s v="Telefon"/>
      </sharedItems>
    </cacheField>
    <cacheField name="Filial" numFmtId="0">
      <sharedItems count="5">
        <s v="Sumqayit"/>
        <s v="Bakı"/>
        <s v="Gence"/>
        <s v="Gəncə"/>
        <s v="Naməlum"/>
      </sharedItems>
    </cacheField>
    <cacheField name="Ödəniş Növü" numFmtId="0">
      <sharedItems count="4">
        <s v="Kredit"/>
        <s v="Kartla"/>
        <s v="Nağd"/>
        <s v="Naməlum"/>
      </sharedItems>
    </cacheField>
    <cacheField name="Satış Miqdarı" numFmtId="0">
      <sharedItems containsSemiMixedTypes="0" containsString="0" containsNumber="1" containsInteger="1" minValue="1" maxValue="10"/>
    </cacheField>
    <cacheField name="Status" numFmtId="0">
      <sharedItems/>
    </cacheField>
    <cacheField name="Mobil Nömrə" numFmtId="165">
      <sharedItems containsSemiMixedTypes="0" containsString="0" containsNumber="1" containsInteger="1" minValue="500013108" maxValue="779860327"/>
    </cacheField>
    <cacheField name="Müştəri Kodu" numFmtId="0">
      <sharedItems/>
    </cacheField>
    <cacheField name="Kuryer Qeydi" numFmtId="0">
      <sharedItems/>
    </cacheField>
    <cacheField name="Maya dəyəri" numFmtId="0">
      <sharedItems containsSemiMixedTypes="0" containsString="0" containsNumber="1" containsInteger="1" minValue="15" maxValue="1200"/>
    </cacheField>
    <cacheField name="Satış Qiyməti" numFmtId="0">
      <sharedItems containsSemiMixedTypes="0" containsString="0" containsNumber="1" containsInteger="1" minValue="45" maxValue="1800"/>
    </cacheField>
    <cacheField name="Yekun Satış Məbləği" numFmtId="0">
      <sharedItems containsSemiMixedTypes="0" containsString="0" containsNumber="1" containsInteger="1" minValue="45" maxValue="18000" count="40">
        <n v="14400"/>
        <n v="225"/>
        <n v="45"/>
        <n v="10800"/>
        <n v="5400"/>
        <n v="135"/>
        <n v="6500"/>
        <n v="7600"/>
        <n v="9500"/>
        <n v="12600"/>
        <n v="8550"/>
        <n v="1800"/>
        <n v="3250"/>
        <n v="3600"/>
        <n v="360"/>
        <n v="5700"/>
        <n v="950"/>
        <n v="6650"/>
        <n v="2850"/>
        <n v="9000"/>
        <n v="2600"/>
        <n v="1900"/>
        <n v="180"/>
        <n v="5200"/>
        <n v="450"/>
        <n v="18000"/>
        <n v="4750"/>
        <n v="7200"/>
        <n v="650"/>
        <n v="3800"/>
        <n v="405"/>
        <n v="270"/>
        <n v="90"/>
        <n v="5850"/>
        <n v="315"/>
        <n v="16200"/>
        <n v="1300"/>
        <n v="3900"/>
        <n v="1950"/>
        <n v="4550"/>
      </sharedItems>
    </cacheField>
    <cacheField name="Xalis Mənfəət" numFmtId="0">
      <sharedItems containsSemiMixedTypes="0" containsString="0" containsNumber="1" containsInteger="1" minValue="30" maxValue="6000"/>
    </cacheField>
    <cacheField name="Dinamik Endirim" numFmtId="0">
      <sharedItems containsMixedTypes="1" containsNumber="1" minValue="40.5" maxValue="1620"/>
    </cacheField>
    <cacheField name="Son Ödəniş tarixi" numFmtId="14">
      <sharedItems containsDate="1" containsMixedTypes="1" minDate="2026-01-31T00:00:00" maxDate="2026-07-01T00:00:00"/>
    </cacheField>
    <cacheField name="Həftənin Günü" numFmtId="0">
      <sharedItems/>
    </cacheField>
    <cacheField name="Months" numFmtId="0" databaseField="0">
      <fieldGroup base="1">
        <rangePr groupBy="months" startDate="2026-01-08T00:00:00" endDate="2026-06-07T00:00:00"/>
        <groupItems count="14">
          <s v="&lt;08.01.26"/>
          <s v="Jan"/>
          <s v="Feb"/>
          <s v="Mar"/>
          <s v="Apr"/>
          <s v="May"/>
          <s v="Jun"/>
          <s v="Jul"/>
          <s v="Aug"/>
          <s v="Sep"/>
          <s v="Oct"/>
          <s v="Nov"/>
          <s v="Dec"/>
          <s v="&gt;07.06.26"/>
        </groupItems>
      </fieldGroup>
    </cacheField>
  </cacheFields>
  <extLst>
    <ext xmlns:x14="http://schemas.microsoft.com/office/spreadsheetml/2009/9/main" uri="{725AE2AE-9491-48be-B2B4-4EB974FC3084}">
      <x14:pivotCacheDefinition pivotCacheId="5887084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0">
  <r>
    <s v="TX1001"/>
    <x v="0"/>
    <x v="0"/>
    <x v="0"/>
    <x v="0"/>
    <x v="0"/>
    <n v="8"/>
    <s v="Tamamlandı"/>
    <n v="517078704"/>
    <s v="RH-1001"/>
    <s v="Ramil-Sumqayit Filialina çardırılma"/>
    <n v="1200"/>
    <n v="1800"/>
    <x v="0"/>
    <n v="4800"/>
    <s v="0%"/>
    <d v="2026-04-30T00:00:00"/>
    <s v="Wednesday"/>
  </r>
  <r>
    <s v="TX1002"/>
    <x v="1"/>
    <x v="1"/>
    <x v="1"/>
    <x v="1"/>
    <x v="1"/>
    <n v="5"/>
    <s v="Tamamlandı"/>
    <n v="773570542"/>
    <s v="ZM-1002"/>
    <s v="Zaur-Bakı Filialina çardırılma"/>
    <n v="15"/>
    <n v="45"/>
    <x v="1"/>
    <n v="150"/>
    <s v="0%"/>
    <s v=""/>
    <s v="Sunday"/>
  </r>
  <r>
    <s v="TX1003"/>
    <x v="2"/>
    <x v="2"/>
    <x v="1"/>
    <x v="2"/>
    <x v="2"/>
    <n v="1"/>
    <s v="Tamamlandı"/>
    <n v="559926925"/>
    <s v="MI-1003"/>
    <s v="Murad-Gence Filialina çardırılma"/>
    <n v="15"/>
    <n v="45"/>
    <x v="2"/>
    <n v="30"/>
    <s v="0%"/>
    <s v=""/>
    <s v="Tuesday"/>
  </r>
  <r>
    <s v="TX1004"/>
    <x v="3"/>
    <x v="3"/>
    <x v="0"/>
    <x v="2"/>
    <x v="0"/>
    <n v="6"/>
    <s v="Tamamlandı"/>
    <n v="507202339"/>
    <s v="NM-1004"/>
    <s v="Nərgin-Gence Filialina çardırılma"/>
    <n v="1200"/>
    <n v="1800"/>
    <x v="3"/>
    <n v="3600"/>
    <s v="0%"/>
    <d v="2026-05-31T00:00:00"/>
    <s v="Friday"/>
  </r>
  <r>
    <s v="TX1005"/>
    <x v="4"/>
    <x v="1"/>
    <x v="0"/>
    <x v="3"/>
    <x v="0"/>
    <n v="3"/>
    <s v="Tamamlandı"/>
    <n v="554736215"/>
    <s v="ZM-1005"/>
    <s v="Zaur-Gəncə Filialina çardırılma"/>
    <n v="1200"/>
    <n v="1800"/>
    <x v="4"/>
    <n v="1800"/>
    <s v="0%"/>
    <d v="2026-04-30T00:00:00"/>
    <s v="Tuesday"/>
  </r>
  <r>
    <s v="TX1006"/>
    <x v="5"/>
    <x v="2"/>
    <x v="1"/>
    <x v="0"/>
    <x v="0"/>
    <n v="3"/>
    <s v="Tamamlandı"/>
    <n v="519664056"/>
    <s v="MI-1006"/>
    <s v="Murad-Sumqayit Filialina çardırılma"/>
    <n v="15"/>
    <n v="45"/>
    <x v="5"/>
    <n v="90"/>
    <s v="0%"/>
    <d v="2026-01-31T00:00:00"/>
    <s v="Wednesday"/>
  </r>
  <r>
    <s v="TX1007"/>
    <x v="6"/>
    <x v="4"/>
    <x v="2"/>
    <x v="0"/>
    <x v="2"/>
    <n v="10"/>
    <s v="Tamamlandı"/>
    <n v="705543420"/>
    <s v="EQ-1007"/>
    <s v="Elnur-Sumqayit Filialina çardırılma"/>
    <n v="400"/>
    <n v="650"/>
    <x v="6"/>
    <n v="2500"/>
    <n v="585"/>
    <s v=""/>
    <s v="Friday"/>
  </r>
  <r>
    <s v="TX1008"/>
    <x v="6"/>
    <x v="5"/>
    <x v="3"/>
    <x v="0"/>
    <x v="0"/>
    <n v="8"/>
    <s v="Tamamlandı"/>
    <n v="504265196"/>
    <s v="ƏM-1008"/>
    <s v="Əli-Sumqayit Filialina çardırılma"/>
    <n v="600"/>
    <n v="950"/>
    <x v="7"/>
    <n v="2800"/>
    <s v="0%"/>
    <d v="2026-05-31T00:00:00"/>
    <s v="Friday"/>
  </r>
  <r>
    <s v="TX1009"/>
    <x v="0"/>
    <x v="6"/>
    <x v="3"/>
    <x v="1"/>
    <x v="2"/>
    <n v="10"/>
    <s v="Tamamlandı"/>
    <n v="558020131"/>
    <s v="AV-1009"/>
    <s v="Aysel-Baki Filialina çardırılma"/>
    <n v="600"/>
    <n v="950"/>
    <x v="8"/>
    <n v="3500"/>
    <n v="855"/>
    <s v=""/>
    <s v="Wednesday"/>
  </r>
  <r>
    <s v="TX1010"/>
    <x v="7"/>
    <x v="7"/>
    <x v="0"/>
    <x v="2"/>
    <x v="2"/>
    <n v="7"/>
    <s v="Tamamlandı"/>
    <n v="506431795"/>
    <s v="LƏ-1010"/>
    <s v="Leyla-Gence Filialina çardırılma"/>
    <n v="1200"/>
    <n v="1800"/>
    <x v="9"/>
    <n v="4200"/>
    <n v="1620"/>
    <s v=""/>
    <s v="Wednesday"/>
  </r>
  <r>
    <s v="TX1011"/>
    <x v="8"/>
    <x v="0"/>
    <x v="0"/>
    <x v="3"/>
    <x v="0"/>
    <n v="3"/>
    <s v="Tamamlandı"/>
    <n v="510519042"/>
    <s v="RH-1011"/>
    <s v="Ramil-Gəncə Filialina çardırılma"/>
    <n v="1200"/>
    <n v="1800"/>
    <x v="4"/>
    <n v="1800"/>
    <s v="0%"/>
    <d v="2026-03-31T00:00:00"/>
    <s v="Wednesday"/>
  </r>
  <r>
    <s v="TX1012"/>
    <x v="9"/>
    <x v="6"/>
    <x v="1"/>
    <x v="1"/>
    <x v="2"/>
    <n v="3"/>
    <s v="Tamamlandı"/>
    <n v="503722423"/>
    <s v="AV-1012"/>
    <s v="Aysel-Baki Filialina çardırılma"/>
    <n v="15"/>
    <n v="45"/>
    <x v="5"/>
    <n v="90"/>
    <s v="0%"/>
    <s v=""/>
    <s v="Thursday"/>
  </r>
  <r>
    <s v="TX1013"/>
    <x v="8"/>
    <x v="2"/>
    <x v="0"/>
    <x v="0"/>
    <x v="2"/>
    <n v="7"/>
    <s v="Tamamlandı"/>
    <n v="773506491"/>
    <s v="MI-1013"/>
    <s v="Murad-Sumqayit Filialina çardırılma"/>
    <n v="1200"/>
    <n v="1800"/>
    <x v="9"/>
    <n v="4200"/>
    <n v="1620"/>
    <s v=""/>
    <s v="Wednesday"/>
  </r>
  <r>
    <s v="TX1014"/>
    <x v="10"/>
    <x v="1"/>
    <x v="3"/>
    <x v="3"/>
    <x v="0"/>
    <n v="9"/>
    <s v="Tamamlandı"/>
    <n v="771035954"/>
    <s v="ZM-1014"/>
    <s v="Zaur-Gəncə Filialina çardırılma"/>
    <n v="600"/>
    <n v="950"/>
    <x v="10"/>
    <n v="3150"/>
    <s v="0%"/>
    <d v="2026-01-31T00:00:00"/>
    <s v="Tuesday"/>
  </r>
  <r>
    <s v="TX1015"/>
    <x v="11"/>
    <x v="6"/>
    <x v="0"/>
    <x v="1"/>
    <x v="1"/>
    <n v="6"/>
    <s v="Tamamlandı"/>
    <n v="554614585"/>
    <s v="AV-1015"/>
    <s v="Aysel-Baki Filialina çardırılma"/>
    <n v="1200"/>
    <n v="1800"/>
    <x v="3"/>
    <n v="3600"/>
    <s v="0%"/>
    <s v=""/>
    <s v="Wednesday"/>
  </r>
  <r>
    <s v="TX1016"/>
    <x v="12"/>
    <x v="6"/>
    <x v="0"/>
    <x v="0"/>
    <x v="2"/>
    <n v="1"/>
    <s v="Tamamlandı"/>
    <n v="773321525"/>
    <s v="AV-1016"/>
    <s v="Aysel-Sumqayıt Filialina çardırılma"/>
    <n v="1200"/>
    <n v="1800"/>
    <x v="11"/>
    <n v="600"/>
    <s v="0%"/>
    <s v=""/>
    <s v="Monday"/>
  </r>
  <r>
    <s v="TX1017"/>
    <x v="13"/>
    <x v="6"/>
    <x v="2"/>
    <x v="1"/>
    <x v="2"/>
    <n v="5"/>
    <s v="Tamamlandı"/>
    <n v="707182900"/>
    <s v="AV-1017"/>
    <s v="Aysel-Baki Filialina çardırılma"/>
    <n v="400"/>
    <n v="650"/>
    <x v="12"/>
    <n v="1250"/>
    <s v="0%"/>
    <s v=""/>
    <s v="Monday"/>
  </r>
  <r>
    <s v="TX1018"/>
    <x v="14"/>
    <x v="1"/>
    <x v="0"/>
    <x v="1"/>
    <x v="2"/>
    <n v="2"/>
    <s v="Tamamlandı"/>
    <n v="507552477"/>
    <s v="ZM-1018"/>
    <s v="Zaur-Bakı Filialina çardırılma"/>
    <n v="1200"/>
    <n v="1800"/>
    <x v="13"/>
    <n v="1200"/>
    <s v="0%"/>
    <s v=""/>
    <s v="Tuesday"/>
  </r>
  <r>
    <s v="TX1019"/>
    <x v="15"/>
    <x v="6"/>
    <x v="1"/>
    <x v="2"/>
    <x v="0"/>
    <n v="8"/>
    <s v="Tamamlandı"/>
    <n v="504429864"/>
    <s v="AV-1019"/>
    <s v="Aysel-Gence Filialina çardırılma"/>
    <n v="15"/>
    <n v="45"/>
    <x v="14"/>
    <n v="240"/>
    <s v="0%"/>
    <d v="2026-05-31T00:00:00"/>
    <s v="Thursday"/>
  </r>
  <r>
    <s v="TX1020"/>
    <x v="16"/>
    <x v="3"/>
    <x v="1"/>
    <x v="3"/>
    <x v="0"/>
    <n v="3"/>
    <s v="Tamamlandı"/>
    <n v="703110495"/>
    <s v="NM-1020"/>
    <s v="Nərgin-Gəncə Filialina çardırılma"/>
    <n v="15"/>
    <n v="45"/>
    <x v="5"/>
    <n v="90"/>
    <s v="0%"/>
    <d v="2026-06-30T00:00:00"/>
    <s v="Thursday"/>
  </r>
  <r>
    <s v="TX1021"/>
    <x v="17"/>
    <x v="7"/>
    <x v="3"/>
    <x v="1"/>
    <x v="2"/>
    <n v="6"/>
    <s v="Tamamlandı"/>
    <n v="551595964"/>
    <s v="LƏ-1021"/>
    <s v="Leyla-Bakı Filialina çardırılma"/>
    <n v="600"/>
    <n v="950"/>
    <x v="15"/>
    <n v="2100"/>
    <n v="855"/>
    <s v=""/>
    <s v="Saturday"/>
  </r>
  <r>
    <s v="TX1022"/>
    <x v="18"/>
    <x v="5"/>
    <x v="0"/>
    <x v="0"/>
    <x v="1"/>
    <n v="7"/>
    <s v="Tamamlandı"/>
    <n v="513705783"/>
    <s v="ƏM-1022"/>
    <s v="Əli-Sumqayit Filialina çardırılma"/>
    <n v="1200"/>
    <n v="1800"/>
    <x v="9"/>
    <n v="4200"/>
    <s v="0%"/>
    <s v=""/>
    <s v="Saturday"/>
  </r>
  <r>
    <s v="TX1023"/>
    <x v="19"/>
    <x v="1"/>
    <x v="0"/>
    <x v="3"/>
    <x v="2"/>
    <n v="6"/>
    <s v="Tamamlandı"/>
    <n v="509764011"/>
    <s v="ZM-1023"/>
    <s v="Zaur-Gəncə Filialina çardırılma"/>
    <n v="1200"/>
    <n v="1800"/>
    <x v="3"/>
    <n v="3600"/>
    <n v="1620"/>
    <s v=""/>
    <s v="Sunday"/>
  </r>
  <r>
    <s v="TX1024"/>
    <x v="20"/>
    <x v="6"/>
    <x v="1"/>
    <x v="1"/>
    <x v="0"/>
    <n v="3"/>
    <s v="Tamamlandı"/>
    <n v="551833724"/>
    <s v="AV-1024"/>
    <s v="Aysel-Baki Filialina çardırılma"/>
    <n v="15"/>
    <n v="45"/>
    <x v="5"/>
    <n v="90"/>
    <s v="0%"/>
    <d v="2026-03-31T00:00:00"/>
    <s v="Wednesday"/>
  </r>
  <r>
    <s v="TX1025"/>
    <x v="19"/>
    <x v="7"/>
    <x v="3"/>
    <x v="1"/>
    <x v="0"/>
    <n v="1"/>
    <s v="Tamamlandı"/>
    <n v="559538221"/>
    <s v="LƏ-1025"/>
    <s v="Leyla-Bakı Filialina çardırılma"/>
    <n v="600"/>
    <n v="950"/>
    <x v="16"/>
    <n v="350"/>
    <s v="0%"/>
    <d v="2026-01-31T00:00:00"/>
    <s v="Sunday"/>
  </r>
  <r>
    <s v="TX1026"/>
    <x v="12"/>
    <x v="3"/>
    <x v="3"/>
    <x v="3"/>
    <x v="1"/>
    <n v="7"/>
    <s v="Tamamlandı"/>
    <n v="558740437"/>
    <s v="NM-1026"/>
    <s v="Nərgin-Gəncə Filialina çardırılma"/>
    <n v="600"/>
    <n v="950"/>
    <x v="17"/>
    <n v="2450"/>
    <s v="0%"/>
    <s v=""/>
    <s v="Monday"/>
  </r>
  <r>
    <s v="TX1027"/>
    <x v="21"/>
    <x v="0"/>
    <x v="3"/>
    <x v="1"/>
    <x v="2"/>
    <n v="3"/>
    <s v="Tamamlandı"/>
    <n v="771965952"/>
    <s v="RH-1027"/>
    <s v="Ramil-Baki Filialina çardırılma"/>
    <n v="600"/>
    <n v="950"/>
    <x v="18"/>
    <n v="1050"/>
    <s v="0%"/>
    <s v=""/>
    <s v="Sunday"/>
  </r>
  <r>
    <s v="TX1028"/>
    <x v="1"/>
    <x v="0"/>
    <x v="0"/>
    <x v="1"/>
    <x v="2"/>
    <n v="5"/>
    <s v="Tamamlandı"/>
    <n v="515252081"/>
    <s v="RH-1028"/>
    <s v="Ramil-Baki Filialina çardırılma"/>
    <n v="1200"/>
    <n v="1800"/>
    <x v="19"/>
    <n v="3000"/>
    <s v="0%"/>
    <s v=""/>
    <s v="Sunday"/>
  </r>
  <r>
    <s v="TX1029"/>
    <x v="19"/>
    <x v="3"/>
    <x v="2"/>
    <x v="1"/>
    <x v="0"/>
    <n v="4"/>
    <s v="Tamamlandı"/>
    <n v="557831341"/>
    <s v="NM-1029"/>
    <s v="Nərgin-Baki Filialina çardırılma"/>
    <n v="400"/>
    <n v="650"/>
    <x v="20"/>
    <n v="1000"/>
    <s v="0%"/>
    <d v="2026-01-31T00:00:00"/>
    <s v="Sunday"/>
  </r>
  <r>
    <s v="TX1030"/>
    <x v="22"/>
    <x v="6"/>
    <x v="3"/>
    <x v="0"/>
    <x v="0"/>
    <n v="2"/>
    <s v="Tamamlandı"/>
    <n v="774042788"/>
    <s v="AV-1030"/>
    <s v="Aysel-Sumqayıt Filialina çardırılma"/>
    <n v="600"/>
    <n v="950"/>
    <x v="21"/>
    <n v="700"/>
    <s v="0%"/>
    <d v="2026-01-31T00:00:00"/>
    <s v="Tuesday"/>
  </r>
  <r>
    <s v="TX1031"/>
    <x v="23"/>
    <x v="7"/>
    <x v="1"/>
    <x v="2"/>
    <x v="2"/>
    <n v="3"/>
    <s v="Tamamlandı"/>
    <n v="778571208"/>
    <s v="LƏ-1031"/>
    <s v="Leyla-Gence Filialina çardırılma"/>
    <n v="15"/>
    <n v="45"/>
    <x v="5"/>
    <n v="90"/>
    <s v="0%"/>
    <s v=""/>
    <s v="Friday"/>
  </r>
  <r>
    <s v="TX1032"/>
    <x v="24"/>
    <x v="0"/>
    <x v="3"/>
    <x v="2"/>
    <x v="2"/>
    <n v="10"/>
    <s v="Tamamlandı"/>
    <n v="552235354"/>
    <s v="RH-1032"/>
    <s v="Ramil-Gence Filialina çardırılma"/>
    <n v="600"/>
    <n v="950"/>
    <x v="8"/>
    <n v="3500"/>
    <n v="855"/>
    <s v=""/>
    <s v="Monday"/>
  </r>
  <r>
    <s v="TX1033"/>
    <x v="25"/>
    <x v="3"/>
    <x v="0"/>
    <x v="0"/>
    <x v="1"/>
    <n v="8"/>
    <s v="Tamamlandı"/>
    <n v="778489216"/>
    <s v="NM-1033"/>
    <s v="Nərgin-Sumqayıt Filialina çardırılma"/>
    <n v="1200"/>
    <n v="1800"/>
    <x v="0"/>
    <n v="4800"/>
    <s v="0%"/>
    <s v=""/>
    <s v="Thursday"/>
  </r>
  <r>
    <s v="TX1034"/>
    <x v="26"/>
    <x v="6"/>
    <x v="0"/>
    <x v="2"/>
    <x v="0"/>
    <n v="2"/>
    <s v="Tamamlandı"/>
    <n v="515328334"/>
    <s v="AV-1034"/>
    <s v="Aysel-Gence Filialina çardırılma"/>
    <n v="1200"/>
    <n v="1800"/>
    <x v="13"/>
    <n v="1200"/>
    <s v="0%"/>
    <d v="2026-02-28T00:00:00"/>
    <s v="Sunday"/>
  </r>
  <r>
    <s v="TX1035"/>
    <x v="27"/>
    <x v="4"/>
    <x v="0"/>
    <x v="4"/>
    <x v="1"/>
    <n v="6"/>
    <s v="Tamamlandı"/>
    <n v="705257492"/>
    <s v="EQ-1035"/>
    <s v="Elnur-Naməlum Filialina çardırılma"/>
    <n v="1200"/>
    <n v="1800"/>
    <x v="3"/>
    <n v="3600"/>
    <s v="0%"/>
    <s v=""/>
    <s v="Friday"/>
  </r>
  <r>
    <s v="TX1036"/>
    <x v="28"/>
    <x v="1"/>
    <x v="1"/>
    <x v="1"/>
    <x v="0"/>
    <n v="4"/>
    <s v="Tamamlandı"/>
    <n v="777562578"/>
    <s v="ZM-1036"/>
    <s v="Zaur-Bakı Filialina çardırılma"/>
    <n v="15"/>
    <n v="45"/>
    <x v="22"/>
    <n v="120"/>
    <s v="0%"/>
    <d v="2026-01-31T00:00:00"/>
    <s v="Sunday"/>
  </r>
  <r>
    <s v="TX1037"/>
    <x v="29"/>
    <x v="4"/>
    <x v="0"/>
    <x v="1"/>
    <x v="2"/>
    <n v="6"/>
    <s v="Tamamlandı"/>
    <n v="554995560"/>
    <s v="EQ-1037"/>
    <s v="Elnur-Baki Filialina çardırılma"/>
    <n v="1200"/>
    <n v="1800"/>
    <x v="3"/>
    <n v="3600"/>
    <n v="1620"/>
    <s v=""/>
    <s v="Monday"/>
  </r>
  <r>
    <s v="TX1038"/>
    <x v="30"/>
    <x v="7"/>
    <x v="2"/>
    <x v="3"/>
    <x v="0"/>
    <n v="8"/>
    <s v="Tamamlandı"/>
    <n v="557040365"/>
    <s v="LƏ-1038"/>
    <s v="Leyla-Gəncə Filialina çardırılma"/>
    <n v="400"/>
    <n v="650"/>
    <x v="23"/>
    <n v="2000"/>
    <s v="0%"/>
    <d v="2026-02-28T00:00:00"/>
    <s v="Tuesday"/>
  </r>
  <r>
    <s v="TX1039"/>
    <x v="31"/>
    <x v="3"/>
    <x v="1"/>
    <x v="0"/>
    <x v="2"/>
    <n v="10"/>
    <s v="Tamamlandı"/>
    <n v="701027936"/>
    <s v="NM-1039"/>
    <s v="Nərgin-Sumqayıt Filialina çardırılma"/>
    <n v="15"/>
    <n v="45"/>
    <x v="24"/>
    <n v="300"/>
    <n v="40.5"/>
    <s v=""/>
    <s v="Thursday"/>
  </r>
  <r>
    <s v="TX1040"/>
    <x v="32"/>
    <x v="6"/>
    <x v="3"/>
    <x v="1"/>
    <x v="0"/>
    <n v="2"/>
    <s v="Tamamlandı"/>
    <n v="779606909"/>
    <s v="AV-1040"/>
    <s v="Aysel-Baki Filialina çardırılma"/>
    <n v="600"/>
    <n v="950"/>
    <x v="21"/>
    <n v="700"/>
    <s v="0%"/>
    <d v="2026-03-31T00:00:00"/>
    <s v="Sunday"/>
  </r>
  <r>
    <s v="TX1041"/>
    <x v="33"/>
    <x v="1"/>
    <x v="3"/>
    <x v="1"/>
    <x v="2"/>
    <n v="6"/>
    <s v="Tamamlandı"/>
    <n v="553457430"/>
    <s v="ZM-1041"/>
    <s v="Zaur-Bakı Filialina çardırılma"/>
    <n v="600"/>
    <n v="950"/>
    <x v="15"/>
    <n v="2100"/>
    <n v="855"/>
    <s v=""/>
    <s v="Thursday"/>
  </r>
  <r>
    <s v="TX1042"/>
    <x v="34"/>
    <x v="3"/>
    <x v="0"/>
    <x v="1"/>
    <x v="0"/>
    <n v="10"/>
    <s v="Tamamlandı"/>
    <n v="557767170"/>
    <s v="NM-1042"/>
    <s v="Nərgin-Baki Filialina çardırılma"/>
    <n v="1200"/>
    <n v="1800"/>
    <x v="25"/>
    <n v="6000"/>
    <s v="0%"/>
    <d v="2026-04-30T00:00:00"/>
    <s v="Wednesday"/>
  </r>
  <r>
    <s v="TX1043"/>
    <x v="16"/>
    <x v="1"/>
    <x v="3"/>
    <x v="0"/>
    <x v="0"/>
    <n v="5"/>
    <s v="Tamamlandı"/>
    <n v="772276773"/>
    <s v="ZM-1043"/>
    <s v="Zaur-Sumqayit Filialina çardırılma"/>
    <n v="600"/>
    <n v="950"/>
    <x v="26"/>
    <n v="1750"/>
    <s v="0%"/>
    <d v="2026-06-30T00:00:00"/>
    <s v="Thursday"/>
  </r>
  <r>
    <s v="TX1044"/>
    <x v="26"/>
    <x v="3"/>
    <x v="3"/>
    <x v="3"/>
    <x v="1"/>
    <n v="5"/>
    <s v="Tamamlandı"/>
    <n v="512561068"/>
    <s v="NM-1044"/>
    <s v="Nərgin-Gəncə Filialina çardırılma"/>
    <n v="600"/>
    <n v="950"/>
    <x v="26"/>
    <n v="1750"/>
    <s v="0%"/>
    <s v=""/>
    <s v="Sunday"/>
  </r>
  <r>
    <s v="TX1045"/>
    <x v="35"/>
    <x v="6"/>
    <x v="3"/>
    <x v="0"/>
    <x v="2"/>
    <n v="2"/>
    <s v="Tamamlandı"/>
    <n v="514560683"/>
    <s v="AV-1045"/>
    <s v="Aysel-Sumqayıt Filialina çardırılma"/>
    <n v="600"/>
    <n v="950"/>
    <x v="21"/>
    <n v="700"/>
    <s v="0%"/>
    <s v=""/>
    <s v="Friday"/>
  </r>
  <r>
    <s v="TX1046"/>
    <x v="36"/>
    <x v="7"/>
    <x v="0"/>
    <x v="0"/>
    <x v="2"/>
    <n v="5"/>
    <s v="Tamamlandı"/>
    <n v="557512092"/>
    <s v="LƏ-1046"/>
    <s v="Leyla-Sumqayıt Filialina çardırılma"/>
    <n v="1200"/>
    <n v="1800"/>
    <x v="19"/>
    <n v="3000"/>
    <s v="0%"/>
    <s v=""/>
    <s v="Tuesday"/>
  </r>
  <r>
    <s v="TX1047"/>
    <x v="37"/>
    <x v="2"/>
    <x v="0"/>
    <x v="2"/>
    <x v="0"/>
    <n v="4"/>
    <s v="Tamamlandı"/>
    <n v="510445031"/>
    <s v="MI-1047"/>
    <s v="Murad-Gence Filialina çardırılma"/>
    <n v="1200"/>
    <n v="1800"/>
    <x v="27"/>
    <n v="2400"/>
    <s v="0%"/>
    <d v="2026-05-31T00:00:00"/>
    <s v="Tuesday"/>
  </r>
  <r>
    <s v="TX1048"/>
    <x v="38"/>
    <x v="7"/>
    <x v="3"/>
    <x v="3"/>
    <x v="0"/>
    <n v="10"/>
    <s v="Tamamlandı"/>
    <n v="701936577"/>
    <s v="LƏ-1048"/>
    <s v="Leyla-Gəncə Filialina çardırılma"/>
    <n v="600"/>
    <n v="950"/>
    <x v="8"/>
    <n v="3500"/>
    <s v="0%"/>
    <d v="2026-03-31T00:00:00"/>
    <s v="Saturday"/>
  </r>
  <r>
    <s v="TX1049"/>
    <x v="39"/>
    <x v="6"/>
    <x v="2"/>
    <x v="0"/>
    <x v="0"/>
    <n v="1"/>
    <s v="Tamamlandı"/>
    <n v="514395540"/>
    <s v="AV-1049"/>
    <s v="Aysel-Sumqayıt Filialina çardırılma"/>
    <n v="400"/>
    <n v="650"/>
    <x v="28"/>
    <n v="250"/>
    <s v="0%"/>
    <d v="2026-02-28T00:00:00"/>
    <s v="Monday"/>
  </r>
  <r>
    <s v="TX1050"/>
    <x v="29"/>
    <x v="7"/>
    <x v="1"/>
    <x v="0"/>
    <x v="0"/>
    <n v="4"/>
    <s v="Tamamlandı"/>
    <n v="506744372"/>
    <s v="LƏ-1050"/>
    <s v="Leyla-Sumqayıt Filialina çardırılma"/>
    <n v="15"/>
    <n v="45"/>
    <x v="22"/>
    <n v="120"/>
    <s v="0%"/>
    <d v="2026-05-31T00:00:00"/>
    <s v="Monday"/>
  </r>
  <r>
    <s v="TX1051"/>
    <x v="40"/>
    <x v="3"/>
    <x v="3"/>
    <x v="0"/>
    <x v="0"/>
    <n v="4"/>
    <s v="Tamamlandı"/>
    <n v="772488443"/>
    <s v="NM-1051"/>
    <s v="Nərgin-Sumqayıt Filialina çardırılma"/>
    <n v="600"/>
    <n v="950"/>
    <x v="29"/>
    <n v="1400"/>
    <s v="0%"/>
    <d v="2026-02-28T00:00:00"/>
    <s v="Friday"/>
  </r>
  <r>
    <s v="TX1052"/>
    <x v="41"/>
    <x v="2"/>
    <x v="1"/>
    <x v="2"/>
    <x v="0"/>
    <n v="5"/>
    <s v="Tamamlandı"/>
    <n v="702029363"/>
    <s v="MI-1052"/>
    <s v="Murad-Gence Filialina çardırılma"/>
    <n v="15"/>
    <n v="45"/>
    <x v="1"/>
    <n v="150"/>
    <s v="0%"/>
    <d v="2026-01-31T00:00:00"/>
    <s v="Monday"/>
  </r>
  <r>
    <s v="TX1053"/>
    <x v="42"/>
    <x v="1"/>
    <x v="2"/>
    <x v="1"/>
    <x v="0"/>
    <n v="1"/>
    <s v="Tamamlandı"/>
    <n v="516560012"/>
    <s v="ZM-1053"/>
    <s v="Zaur-Bakı Filialina çardırılma"/>
    <n v="400"/>
    <n v="650"/>
    <x v="28"/>
    <n v="250"/>
    <s v="0%"/>
    <d v="2026-04-30T00:00:00"/>
    <s v="Tuesday"/>
  </r>
  <r>
    <s v="TX1054"/>
    <x v="6"/>
    <x v="6"/>
    <x v="3"/>
    <x v="1"/>
    <x v="0"/>
    <n v="3"/>
    <s v="Tamamlandı"/>
    <n v="510216932"/>
    <s v="AV-1054"/>
    <s v="Aysel-Baki Filialina çardırılma"/>
    <n v="600"/>
    <n v="950"/>
    <x v="18"/>
    <n v="1050"/>
    <s v="0%"/>
    <d v="2026-05-31T00:00:00"/>
    <s v="Friday"/>
  </r>
  <r>
    <s v="TX1055"/>
    <x v="43"/>
    <x v="7"/>
    <x v="1"/>
    <x v="0"/>
    <x v="0"/>
    <n v="4"/>
    <s v="Tamamlandı"/>
    <n v="770382638"/>
    <s v="LƏ-1055"/>
    <s v="Leyla-Sumqayıt Filialina çardırılma"/>
    <n v="15"/>
    <n v="45"/>
    <x v="22"/>
    <n v="120"/>
    <s v="0%"/>
    <d v="2026-01-31T00:00:00"/>
    <s v="Friday"/>
  </r>
  <r>
    <s v="TX1056"/>
    <x v="44"/>
    <x v="6"/>
    <x v="1"/>
    <x v="1"/>
    <x v="2"/>
    <n v="9"/>
    <s v="Tamamlandı"/>
    <n v="779856416"/>
    <s v="AV-1056"/>
    <s v="Aysel-Baki Filialina çardırılma"/>
    <n v="15"/>
    <n v="45"/>
    <x v="30"/>
    <n v="270"/>
    <n v="40.5"/>
    <s v=""/>
    <s v="Saturday"/>
  </r>
  <r>
    <s v="TX1057"/>
    <x v="45"/>
    <x v="3"/>
    <x v="0"/>
    <x v="0"/>
    <x v="2"/>
    <n v="10"/>
    <s v="Tamamlandı"/>
    <n v="514290665"/>
    <s v="NM-1057"/>
    <s v="Nərgin-Sumqayıt Filialina çardırılma"/>
    <n v="1200"/>
    <n v="1800"/>
    <x v="25"/>
    <n v="6000"/>
    <n v="1620"/>
    <s v=""/>
    <s v="Wednesday"/>
  </r>
  <r>
    <s v="TX1058"/>
    <x v="46"/>
    <x v="0"/>
    <x v="0"/>
    <x v="0"/>
    <x v="1"/>
    <n v="2"/>
    <s v="Tamamlandı"/>
    <n v="513257255"/>
    <s v="RH-1058"/>
    <s v="Ramil-Sumqayit Filialina çardırılma"/>
    <n v="1200"/>
    <n v="1800"/>
    <x v="13"/>
    <n v="1200"/>
    <s v="0%"/>
    <s v=""/>
    <s v="Wednesday"/>
  </r>
  <r>
    <s v="TX1059"/>
    <x v="47"/>
    <x v="3"/>
    <x v="3"/>
    <x v="3"/>
    <x v="0"/>
    <n v="8"/>
    <s v="Tamamlandı"/>
    <n v="704419156"/>
    <s v="NM-1059"/>
    <s v="Nərgin-Gəncə Filialina çardırılma"/>
    <n v="600"/>
    <n v="950"/>
    <x v="7"/>
    <n v="2800"/>
    <s v="0%"/>
    <d v="2026-04-30T00:00:00"/>
    <s v="Sunday"/>
  </r>
  <r>
    <s v="TX1060"/>
    <x v="36"/>
    <x v="6"/>
    <x v="1"/>
    <x v="3"/>
    <x v="3"/>
    <n v="5"/>
    <s v="Tamamlandı"/>
    <n v="555041139"/>
    <s v="AV-1060"/>
    <s v="Aysel-Gəncə Filialina çardırılma"/>
    <n v="15"/>
    <n v="45"/>
    <x v="1"/>
    <n v="150"/>
    <s v="0%"/>
    <s v=""/>
    <s v="Tuesday"/>
  </r>
  <r>
    <s v="TX1061"/>
    <x v="48"/>
    <x v="3"/>
    <x v="1"/>
    <x v="3"/>
    <x v="2"/>
    <n v="6"/>
    <s v="Tamamlandı"/>
    <n v="559215353"/>
    <s v="NM-1061"/>
    <s v="Nərgin-Gəncə Filialina çardırılma"/>
    <n v="15"/>
    <n v="45"/>
    <x v="31"/>
    <n v="180"/>
    <n v="40.5"/>
    <s v=""/>
    <s v="Friday"/>
  </r>
  <r>
    <s v="TX1062"/>
    <x v="49"/>
    <x v="5"/>
    <x v="3"/>
    <x v="2"/>
    <x v="1"/>
    <n v="7"/>
    <s v="Tamamlandı"/>
    <n v="555301117"/>
    <s v="ƏM-1062"/>
    <s v="Əli-Gence Filialina çardırılma"/>
    <n v="600"/>
    <n v="950"/>
    <x v="17"/>
    <n v="2450"/>
    <s v="0%"/>
    <s v=""/>
    <s v="Saturday"/>
  </r>
  <r>
    <s v="TX1063"/>
    <x v="50"/>
    <x v="7"/>
    <x v="2"/>
    <x v="0"/>
    <x v="0"/>
    <n v="1"/>
    <s v="Tamamlandı"/>
    <n v="779506326"/>
    <s v="LƏ-1063"/>
    <s v="Leyla-Sumqayıt Filialina çardırılma"/>
    <n v="400"/>
    <n v="650"/>
    <x v="28"/>
    <n v="250"/>
    <s v="0%"/>
    <d v="2026-01-31T00:00:00"/>
    <s v="Wednesday"/>
  </r>
  <r>
    <s v="TX1064"/>
    <x v="34"/>
    <x v="6"/>
    <x v="1"/>
    <x v="3"/>
    <x v="2"/>
    <n v="6"/>
    <s v="Tamamlandı"/>
    <n v="705713079"/>
    <s v="AV-1064"/>
    <s v="Aysel-Gəncə Filialina çardırılma"/>
    <n v="15"/>
    <n v="45"/>
    <x v="31"/>
    <n v="180"/>
    <n v="40.5"/>
    <s v=""/>
    <s v="Wednesday"/>
  </r>
  <r>
    <s v="TX1065"/>
    <x v="43"/>
    <x v="5"/>
    <x v="1"/>
    <x v="1"/>
    <x v="2"/>
    <n v="2"/>
    <s v="Tamamlandı"/>
    <n v="519551807"/>
    <s v="ƏM-1065"/>
    <s v="Əli-Baki Filialina çardırılma"/>
    <n v="15"/>
    <n v="45"/>
    <x v="32"/>
    <n v="60"/>
    <s v="0%"/>
    <s v=""/>
    <s v="Friday"/>
  </r>
  <r>
    <s v="TX1066"/>
    <x v="51"/>
    <x v="2"/>
    <x v="2"/>
    <x v="0"/>
    <x v="2"/>
    <n v="5"/>
    <s v="Tamamlandı"/>
    <n v="516546701"/>
    <s v="MI-1066"/>
    <s v="Murad-Sumqayit Filialina çardırılma"/>
    <n v="400"/>
    <n v="650"/>
    <x v="12"/>
    <n v="1250"/>
    <s v="0%"/>
    <s v=""/>
    <s v="Saturday"/>
  </r>
  <r>
    <s v="TX1067"/>
    <x v="52"/>
    <x v="6"/>
    <x v="1"/>
    <x v="3"/>
    <x v="1"/>
    <n v="4"/>
    <s v="Tamamlandı"/>
    <n v="774280198"/>
    <s v="AV-1067"/>
    <s v="Aysel-Gəncə Filialina çardırılma"/>
    <n v="15"/>
    <n v="45"/>
    <x v="22"/>
    <n v="120"/>
    <s v="0%"/>
    <s v=""/>
    <s v="Friday"/>
  </r>
  <r>
    <s v="TX1068"/>
    <x v="31"/>
    <x v="5"/>
    <x v="3"/>
    <x v="3"/>
    <x v="0"/>
    <n v="7"/>
    <s v="Tamamlandı"/>
    <n v="550812635"/>
    <s v="ƏM-1068"/>
    <s v="Əli-Gəncə Filialina çardırılma"/>
    <n v="600"/>
    <n v="950"/>
    <x v="17"/>
    <n v="2450"/>
    <s v="0%"/>
    <d v="2026-05-31T00:00:00"/>
    <s v="Thursday"/>
  </r>
  <r>
    <s v="TX1069"/>
    <x v="17"/>
    <x v="6"/>
    <x v="3"/>
    <x v="0"/>
    <x v="1"/>
    <n v="5"/>
    <s v="Tamamlandı"/>
    <n v="554003436"/>
    <s v="AV-1069"/>
    <s v="Aysel-Sumqayıt Filialina çardırılma"/>
    <n v="600"/>
    <n v="950"/>
    <x v="26"/>
    <n v="1750"/>
    <s v="0%"/>
    <s v=""/>
    <s v="Saturday"/>
  </r>
  <r>
    <s v="TX1070"/>
    <x v="53"/>
    <x v="3"/>
    <x v="1"/>
    <x v="4"/>
    <x v="1"/>
    <n v="2"/>
    <s v="Tamamlandı"/>
    <n v="777278924"/>
    <s v="NM-1070"/>
    <s v="Nərgin-Naməlum Filialina çardırılma"/>
    <n v="15"/>
    <n v="45"/>
    <x v="32"/>
    <n v="60"/>
    <s v="0%"/>
    <s v=""/>
    <s v="Monday"/>
  </r>
  <r>
    <s v="TX1071"/>
    <x v="54"/>
    <x v="7"/>
    <x v="3"/>
    <x v="1"/>
    <x v="2"/>
    <n v="9"/>
    <s v="Tamamlandı"/>
    <n v="777817698"/>
    <s v="LƏ-1071"/>
    <s v="Leyla-Bakı Filialina çardırılma"/>
    <n v="600"/>
    <n v="950"/>
    <x v="10"/>
    <n v="3150"/>
    <n v="855"/>
    <s v=""/>
    <s v="Sunday"/>
  </r>
  <r>
    <s v="TX1072"/>
    <x v="55"/>
    <x v="0"/>
    <x v="1"/>
    <x v="0"/>
    <x v="2"/>
    <n v="9"/>
    <s v="Tamamlandı"/>
    <n v="514883959"/>
    <s v="RH-1072"/>
    <s v="Ramil-Sumqayit Filialina çardırılma"/>
    <n v="15"/>
    <n v="45"/>
    <x v="30"/>
    <n v="270"/>
    <n v="40.5"/>
    <s v=""/>
    <s v="Tuesday"/>
  </r>
  <r>
    <s v="TX1073"/>
    <x v="56"/>
    <x v="6"/>
    <x v="1"/>
    <x v="0"/>
    <x v="2"/>
    <n v="9"/>
    <s v="Tamamlandı"/>
    <n v="778790822"/>
    <s v="AV-1073"/>
    <s v="Aysel-Sumqayıt Filialina çardırılma"/>
    <n v="15"/>
    <n v="45"/>
    <x v="30"/>
    <n v="270"/>
    <n v="40.5"/>
    <s v=""/>
    <s v="Sunday"/>
  </r>
  <r>
    <s v="TX1074"/>
    <x v="57"/>
    <x v="0"/>
    <x v="3"/>
    <x v="0"/>
    <x v="2"/>
    <n v="4"/>
    <s v="Tamamlandı"/>
    <n v="512165802"/>
    <s v="RH-1074"/>
    <s v="Ramil-Sumqayit Filialina çardırılma"/>
    <n v="600"/>
    <n v="950"/>
    <x v="29"/>
    <n v="1400"/>
    <s v="0%"/>
    <s v=""/>
    <s v="Thursday"/>
  </r>
  <r>
    <s v="TX1075"/>
    <x v="24"/>
    <x v="5"/>
    <x v="0"/>
    <x v="0"/>
    <x v="0"/>
    <n v="3"/>
    <s v="Tamamlandı"/>
    <n v="517863565"/>
    <s v="ƏM-1075"/>
    <s v="Əli-Sumqayit Filialina çardırılma"/>
    <n v="1200"/>
    <n v="1800"/>
    <x v="4"/>
    <n v="1800"/>
    <s v="0%"/>
    <d v="2026-03-31T00:00:00"/>
    <s v="Monday"/>
  </r>
  <r>
    <s v="TX1076"/>
    <x v="58"/>
    <x v="3"/>
    <x v="2"/>
    <x v="2"/>
    <x v="1"/>
    <n v="9"/>
    <s v="Tamamlandı"/>
    <n v="558082070"/>
    <s v="NM-1076"/>
    <s v="Nərgin-Gence Filialina çardırılma"/>
    <n v="400"/>
    <n v="650"/>
    <x v="33"/>
    <n v="2250"/>
    <s v="0%"/>
    <s v=""/>
    <s v="Monday"/>
  </r>
  <r>
    <s v="TX1077"/>
    <x v="16"/>
    <x v="1"/>
    <x v="3"/>
    <x v="2"/>
    <x v="2"/>
    <n v="4"/>
    <s v="Tamamlandı"/>
    <n v="556619330"/>
    <s v="ZM-1077"/>
    <s v="Zaur-Gence Filialina çardırılma"/>
    <n v="600"/>
    <n v="950"/>
    <x v="29"/>
    <n v="1400"/>
    <s v="0%"/>
    <s v=""/>
    <s v="Thursday"/>
  </r>
  <r>
    <s v="TX1078"/>
    <x v="34"/>
    <x v="0"/>
    <x v="3"/>
    <x v="0"/>
    <x v="2"/>
    <n v="6"/>
    <s v="Tamamlandı"/>
    <n v="508453172"/>
    <s v="RH-1078"/>
    <s v="Ramil-Sumqayit Filialina çardırılma"/>
    <n v="600"/>
    <n v="950"/>
    <x v="15"/>
    <n v="2100"/>
    <n v="855"/>
    <s v=""/>
    <s v="Wednesday"/>
  </r>
  <r>
    <s v="TX1079"/>
    <x v="59"/>
    <x v="0"/>
    <x v="0"/>
    <x v="1"/>
    <x v="1"/>
    <n v="5"/>
    <s v="Tamamlandı"/>
    <n v="775720656"/>
    <s v="RH-1079"/>
    <s v="Ramil-Baki Filialina çardırılma"/>
    <n v="1200"/>
    <n v="1800"/>
    <x v="19"/>
    <n v="3000"/>
    <s v="0%"/>
    <s v=""/>
    <s v="Saturday"/>
  </r>
  <r>
    <s v="TX1080"/>
    <x v="42"/>
    <x v="1"/>
    <x v="0"/>
    <x v="2"/>
    <x v="0"/>
    <n v="10"/>
    <s v="Tamamlandı"/>
    <n v="504078245"/>
    <s v="ZM-1080"/>
    <s v="Zaur-Gence Filialina çardırılma"/>
    <n v="1200"/>
    <n v="1800"/>
    <x v="25"/>
    <n v="6000"/>
    <s v="0%"/>
    <d v="2026-04-30T00:00:00"/>
    <s v="Tuesday"/>
  </r>
  <r>
    <s v="TX1081"/>
    <x v="60"/>
    <x v="4"/>
    <x v="0"/>
    <x v="0"/>
    <x v="2"/>
    <n v="5"/>
    <s v="Tamamlandı"/>
    <n v="779661196"/>
    <s v="EQ-1081"/>
    <s v="Elnur-Sumqayit Filialina çardırılma"/>
    <n v="1200"/>
    <n v="1800"/>
    <x v="19"/>
    <n v="3000"/>
    <s v="0%"/>
    <s v=""/>
    <s v="Saturday"/>
  </r>
  <r>
    <s v="TX1082"/>
    <x v="61"/>
    <x v="2"/>
    <x v="3"/>
    <x v="2"/>
    <x v="0"/>
    <n v="4"/>
    <s v="Tamamlandı"/>
    <n v="772780882"/>
    <s v="MI-1082"/>
    <s v="Murad-Gence Filialina çardırılma"/>
    <n v="600"/>
    <n v="950"/>
    <x v="29"/>
    <n v="1400"/>
    <s v="0%"/>
    <d v="2026-04-30T00:00:00"/>
    <s v="Saturday"/>
  </r>
  <r>
    <s v="TX1083"/>
    <x v="45"/>
    <x v="3"/>
    <x v="0"/>
    <x v="1"/>
    <x v="1"/>
    <n v="7"/>
    <s v="Tamamlandı"/>
    <n v="502623009"/>
    <s v="NM-1083"/>
    <s v="Nərgin-Baki Filialina çardırılma"/>
    <n v="1200"/>
    <n v="1800"/>
    <x v="9"/>
    <n v="4200"/>
    <s v="0%"/>
    <s v=""/>
    <s v="Wednesday"/>
  </r>
  <r>
    <s v="TX1084"/>
    <x v="62"/>
    <x v="3"/>
    <x v="0"/>
    <x v="1"/>
    <x v="0"/>
    <n v="6"/>
    <s v="Tamamlandı"/>
    <n v="703322078"/>
    <s v="NM-1084"/>
    <s v="Nərgin-Baki Filialina çardırılma"/>
    <n v="1200"/>
    <n v="1800"/>
    <x v="3"/>
    <n v="3600"/>
    <s v="0%"/>
    <d v="2026-05-31T00:00:00"/>
    <s v="Sunday"/>
  </r>
  <r>
    <s v="TX1085"/>
    <x v="63"/>
    <x v="1"/>
    <x v="3"/>
    <x v="3"/>
    <x v="0"/>
    <n v="5"/>
    <s v="Tamamlandı"/>
    <n v="511957639"/>
    <s v="ZM-1085"/>
    <s v="Zaur-Gəncə Filialina çardırılma"/>
    <n v="600"/>
    <n v="950"/>
    <x v="26"/>
    <n v="1750"/>
    <s v="0%"/>
    <d v="2026-03-31T00:00:00"/>
    <s v="Tuesday"/>
  </r>
  <r>
    <s v="TX1086"/>
    <x v="64"/>
    <x v="4"/>
    <x v="2"/>
    <x v="2"/>
    <x v="0"/>
    <n v="1"/>
    <s v="Tamamlandı"/>
    <n v="776873581"/>
    <s v="EQ-1086"/>
    <s v="Elnur-Gence Filialina çardırılma"/>
    <n v="400"/>
    <n v="650"/>
    <x v="28"/>
    <n v="250"/>
    <s v="0%"/>
    <d v="2026-03-31T00:00:00"/>
    <s v="Friday"/>
  </r>
  <r>
    <s v="TX1087"/>
    <x v="65"/>
    <x v="7"/>
    <x v="3"/>
    <x v="1"/>
    <x v="2"/>
    <n v="6"/>
    <s v="Tamamlandı"/>
    <n v="770691349"/>
    <s v="LƏ-1087"/>
    <s v="Leyla-Baki Filialina çardırılma"/>
    <n v="600"/>
    <n v="950"/>
    <x v="15"/>
    <n v="2100"/>
    <n v="855"/>
    <s v=""/>
    <s v="Saturday"/>
  </r>
  <r>
    <s v="TX1088"/>
    <x v="3"/>
    <x v="6"/>
    <x v="1"/>
    <x v="0"/>
    <x v="2"/>
    <n v="4"/>
    <s v="Tamamlandı"/>
    <n v="556009284"/>
    <s v="AV-1088"/>
    <s v="Aysel-Sumqayıt Filialina çardırılma"/>
    <n v="15"/>
    <n v="45"/>
    <x v="22"/>
    <n v="120"/>
    <s v="0%"/>
    <s v=""/>
    <s v="Friday"/>
  </r>
  <r>
    <s v="TX1089"/>
    <x v="5"/>
    <x v="0"/>
    <x v="0"/>
    <x v="0"/>
    <x v="0"/>
    <n v="8"/>
    <s v="Tamamlandı"/>
    <n v="778451920"/>
    <s v="RH-1089"/>
    <s v="Ramil-Sumqayıt Filialina çardırılma"/>
    <n v="1200"/>
    <n v="1800"/>
    <x v="0"/>
    <n v="4800"/>
    <s v="0%"/>
    <d v="2026-01-31T00:00:00"/>
    <s v="Wednesday"/>
  </r>
  <r>
    <s v="TX1090"/>
    <x v="3"/>
    <x v="7"/>
    <x v="0"/>
    <x v="0"/>
    <x v="0"/>
    <n v="3"/>
    <s v="Tamamlandı"/>
    <n v="500219169"/>
    <s v="LƏ-1090"/>
    <s v="Leyla-Sumqayıt Filialina çardırılma"/>
    <n v="1200"/>
    <n v="1800"/>
    <x v="4"/>
    <n v="1800"/>
    <s v="0%"/>
    <d v="2026-05-31T00:00:00"/>
    <s v="Friday"/>
  </r>
  <r>
    <s v="TX1091"/>
    <x v="21"/>
    <x v="1"/>
    <x v="2"/>
    <x v="0"/>
    <x v="2"/>
    <n v="1"/>
    <s v="Tamamlandı"/>
    <n v="551286452"/>
    <s v="ZM-1091"/>
    <s v="Zaur-Sumqayit Filialina çardırılma"/>
    <n v="400"/>
    <n v="650"/>
    <x v="28"/>
    <n v="250"/>
    <s v="0%"/>
    <s v=""/>
    <s v="Sunday"/>
  </r>
  <r>
    <s v="TX1092"/>
    <x v="5"/>
    <x v="4"/>
    <x v="0"/>
    <x v="0"/>
    <x v="2"/>
    <n v="10"/>
    <s v="Tamamlandı"/>
    <n v="702905484"/>
    <s v="EQ-1092"/>
    <s v="Elnur-Sumqayit Filialina çardırılma"/>
    <n v="1200"/>
    <n v="1800"/>
    <x v="25"/>
    <n v="6000"/>
    <n v="1620"/>
    <s v=""/>
    <s v="Wednesday"/>
  </r>
  <r>
    <s v="TX1093"/>
    <x v="66"/>
    <x v="2"/>
    <x v="3"/>
    <x v="0"/>
    <x v="0"/>
    <n v="10"/>
    <s v="Tamamlandı"/>
    <n v="559166749"/>
    <s v="MI-1093"/>
    <s v="Murad-Sumqayıt Filialina çardırılma"/>
    <n v="600"/>
    <n v="950"/>
    <x v="8"/>
    <n v="3500"/>
    <s v="0%"/>
    <d v="2026-06-30T00:00:00"/>
    <s v="Friday"/>
  </r>
  <r>
    <s v="TX1094"/>
    <x v="1"/>
    <x v="3"/>
    <x v="0"/>
    <x v="1"/>
    <x v="0"/>
    <n v="1"/>
    <s v="Tamamlandı"/>
    <n v="510616306"/>
    <s v="NM-1094"/>
    <s v="Nərgin-Bakı Filialina çardırılma"/>
    <n v="1200"/>
    <n v="1800"/>
    <x v="11"/>
    <n v="600"/>
    <s v="0%"/>
    <d v="2026-05-31T00:00:00"/>
    <s v="Sunday"/>
  </r>
  <r>
    <s v="TX1095"/>
    <x v="67"/>
    <x v="4"/>
    <x v="0"/>
    <x v="0"/>
    <x v="0"/>
    <n v="5"/>
    <s v="Tamamlandı"/>
    <n v="708387353"/>
    <s v="EQ-1095"/>
    <s v="Elnur-Sumqayıt Filialina çardırılma"/>
    <n v="1200"/>
    <n v="1800"/>
    <x v="19"/>
    <n v="3000"/>
    <s v="0%"/>
    <d v="2026-02-28T00:00:00"/>
    <s v="Monday"/>
  </r>
  <r>
    <s v="TX1096"/>
    <x v="68"/>
    <x v="4"/>
    <x v="3"/>
    <x v="1"/>
    <x v="0"/>
    <n v="6"/>
    <s v="Tamamlandı"/>
    <n v="772112159"/>
    <s v="EQ-1096"/>
    <s v="Elnur-Baki Filialina çardırılma"/>
    <n v="600"/>
    <n v="950"/>
    <x v="15"/>
    <n v="2100"/>
    <s v="0%"/>
    <d v="2026-02-28T00:00:00"/>
    <s v="Thursday"/>
  </r>
  <r>
    <s v="TX1097"/>
    <x v="69"/>
    <x v="3"/>
    <x v="1"/>
    <x v="0"/>
    <x v="0"/>
    <n v="7"/>
    <s v="Tamamlandı"/>
    <n v="509269334"/>
    <s v="NM-1097"/>
    <s v="Nərgin-Sumqayıt Filialina çardırılma"/>
    <n v="15"/>
    <n v="45"/>
    <x v="34"/>
    <n v="210"/>
    <s v="0%"/>
    <d v="2026-02-28T00:00:00"/>
    <s v="Wednesday"/>
  </r>
  <r>
    <s v="TX1098"/>
    <x v="70"/>
    <x v="5"/>
    <x v="3"/>
    <x v="0"/>
    <x v="0"/>
    <n v="10"/>
    <s v="Tamamlandı"/>
    <n v="502903723"/>
    <s v="ƏM-1098"/>
    <s v="Əli-Sumqayit Filialina çardırılma"/>
    <n v="600"/>
    <n v="950"/>
    <x v="8"/>
    <n v="3500"/>
    <s v="0%"/>
    <d v="2026-04-30T00:00:00"/>
    <s v="Thursday"/>
  </r>
  <r>
    <s v="TX1099"/>
    <x v="71"/>
    <x v="7"/>
    <x v="3"/>
    <x v="0"/>
    <x v="2"/>
    <n v="3"/>
    <s v="Tamamlandı"/>
    <n v="506674719"/>
    <s v="LƏ-1099"/>
    <s v="Leyla-Sumqayit Filialina çardırılma"/>
    <n v="600"/>
    <n v="950"/>
    <x v="18"/>
    <n v="1050"/>
    <s v="0%"/>
    <s v=""/>
    <s v="Monday"/>
  </r>
  <r>
    <s v="TX1100"/>
    <x v="72"/>
    <x v="3"/>
    <x v="1"/>
    <x v="1"/>
    <x v="0"/>
    <n v="4"/>
    <s v="Tamamlandı"/>
    <n v="504949477"/>
    <s v="NM-1100"/>
    <s v="Nərgin-Baki Filialina çardırılma"/>
    <n v="15"/>
    <n v="45"/>
    <x v="22"/>
    <n v="120"/>
    <s v="0%"/>
    <d v="2026-02-28T00:00:00"/>
    <s v="Friday"/>
  </r>
  <r>
    <s v="TX1101"/>
    <x v="73"/>
    <x v="7"/>
    <x v="1"/>
    <x v="0"/>
    <x v="1"/>
    <n v="6"/>
    <s v="Tamamlandı"/>
    <n v="512726619"/>
    <s v="LƏ-1101"/>
    <s v="Leyla-Sumqayit Filialina çardırılma"/>
    <n v="15"/>
    <n v="45"/>
    <x v="31"/>
    <n v="180"/>
    <s v="0%"/>
    <s v=""/>
    <s v="Tuesday"/>
  </r>
  <r>
    <s v="TX1102"/>
    <x v="74"/>
    <x v="1"/>
    <x v="3"/>
    <x v="3"/>
    <x v="0"/>
    <n v="1"/>
    <s v="Tamamlandı"/>
    <n v="704056832"/>
    <s v="ZM-1102"/>
    <s v="Zaur-Gəncə Filialina çardırılma"/>
    <n v="600"/>
    <n v="950"/>
    <x v="16"/>
    <n v="350"/>
    <s v="0%"/>
    <d v="2026-05-31T00:00:00"/>
    <s v="Sunday"/>
  </r>
  <r>
    <s v="TX1103"/>
    <x v="18"/>
    <x v="6"/>
    <x v="1"/>
    <x v="0"/>
    <x v="0"/>
    <n v="5"/>
    <s v="Tamamlandı"/>
    <n v="709791372"/>
    <s v="AV-1103"/>
    <s v="Aysel-Sumqayıt Filialina çardırılma"/>
    <n v="15"/>
    <n v="45"/>
    <x v="1"/>
    <n v="150"/>
    <s v="0%"/>
    <d v="2026-05-31T00:00:00"/>
    <s v="Saturday"/>
  </r>
  <r>
    <s v="TX1104"/>
    <x v="24"/>
    <x v="6"/>
    <x v="1"/>
    <x v="2"/>
    <x v="2"/>
    <n v="7"/>
    <s v="Tamamlandı"/>
    <n v="507794914"/>
    <s v="AV-1104"/>
    <s v="Aysel-Gence Filialina çardırılma"/>
    <n v="15"/>
    <n v="45"/>
    <x v="34"/>
    <n v="210"/>
    <n v="40.5"/>
    <s v=""/>
    <s v="Monday"/>
  </r>
  <r>
    <s v="TX1105"/>
    <x v="75"/>
    <x v="0"/>
    <x v="1"/>
    <x v="4"/>
    <x v="1"/>
    <n v="5"/>
    <s v="Tamamlandı"/>
    <n v="510827974"/>
    <s v="RH-1105"/>
    <s v="Ramil-Naməlum Filialina çardırılma"/>
    <n v="15"/>
    <n v="45"/>
    <x v="1"/>
    <n v="150"/>
    <s v="0%"/>
    <s v=""/>
    <s v="Wednesday"/>
  </r>
  <r>
    <s v="TX1106"/>
    <x v="76"/>
    <x v="1"/>
    <x v="0"/>
    <x v="0"/>
    <x v="0"/>
    <n v="8"/>
    <s v="Tamamlandı"/>
    <n v="516484466"/>
    <s v="ZM-1106"/>
    <s v="Zaur-Sumqayit Filialina çardırılma"/>
    <n v="1200"/>
    <n v="1800"/>
    <x v="0"/>
    <n v="4800"/>
    <s v="0%"/>
    <d v="2026-04-30T00:00:00"/>
    <s v="Thursday"/>
  </r>
  <r>
    <s v="TX1107"/>
    <x v="54"/>
    <x v="5"/>
    <x v="3"/>
    <x v="0"/>
    <x v="2"/>
    <n v="3"/>
    <s v="Tamamlandı"/>
    <n v="554957288"/>
    <s v="ƏM-1107"/>
    <s v="Əli-Sumqayıt Filialina çardırılma"/>
    <n v="600"/>
    <n v="950"/>
    <x v="18"/>
    <n v="1050"/>
    <s v="0%"/>
    <s v=""/>
    <s v="Sunday"/>
  </r>
  <r>
    <s v="TX1108"/>
    <x v="77"/>
    <x v="0"/>
    <x v="0"/>
    <x v="0"/>
    <x v="1"/>
    <n v="2"/>
    <s v="Tamamlandı"/>
    <n v="770982246"/>
    <s v="RH-1108"/>
    <s v="Ramil-Sumqayıt Filialina çardırılma"/>
    <n v="1200"/>
    <n v="1800"/>
    <x v="13"/>
    <n v="1200"/>
    <s v="0%"/>
    <s v=""/>
    <s v="Saturday"/>
  </r>
  <r>
    <s v="TX1109"/>
    <x v="78"/>
    <x v="6"/>
    <x v="3"/>
    <x v="1"/>
    <x v="0"/>
    <n v="1"/>
    <s v="Tamamlandı"/>
    <n v="504410309"/>
    <s v="AV-1109"/>
    <s v="Aysel-Baki Filialina çardırılma"/>
    <n v="600"/>
    <n v="950"/>
    <x v="16"/>
    <n v="350"/>
    <s v="0%"/>
    <d v="2026-03-31T00:00:00"/>
    <s v="Monday"/>
  </r>
  <r>
    <s v="TX1110"/>
    <x v="8"/>
    <x v="3"/>
    <x v="3"/>
    <x v="1"/>
    <x v="2"/>
    <n v="10"/>
    <s v="Tamamlandı"/>
    <n v="551625859"/>
    <s v="NM-1110"/>
    <s v="Nərgin-Baki Filialina çardırılma"/>
    <n v="600"/>
    <n v="950"/>
    <x v="8"/>
    <n v="3500"/>
    <n v="855"/>
    <s v=""/>
    <s v="Wednesday"/>
  </r>
  <r>
    <s v="TX1111"/>
    <x v="9"/>
    <x v="7"/>
    <x v="0"/>
    <x v="0"/>
    <x v="0"/>
    <n v="4"/>
    <s v="Tamamlandı"/>
    <n v="776245019"/>
    <s v="LƏ-1111"/>
    <s v="Leyla-Sumqayit Filialina çardırılma"/>
    <n v="1200"/>
    <n v="1800"/>
    <x v="27"/>
    <n v="2400"/>
    <s v="0%"/>
    <d v="2026-01-31T00:00:00"/>
    <s v="Thursday"/>
  </r>
  <r>
    <s v="TX1112"/>
    <x v="39"/>
    <x v="1"/>
    <x v="1"/>
    <x v="0"/>
    <x v="0"/>
    <n v="8"/>
    <s v="Tamamlandı"/>
    <n v="510436397"/>
    <s v="ZM-1112"/>
    <s v="Zaur-Sumqayıt Filialina çardırılma"/>
    <n v="15"/>
    <n v="45"/>
    <x v="14"/>
    <n v="240"/>
    <s v="0%"/>
    <d v="2026-02-28T00:00:00"/>
    <s v="Monday"/>
  </r>
  <r>
    <s v="TX1113"/>
    <x v="61"/>
    <x v="4"/>
    <x v="0"/>
    <x v="1"/>
    <x v="0"/>
    <n v="5"/>
    <s v="Tamamlandı"/>
    <n v="552979438"/>
    <s v="EQ-1113"/>
    <s v="Elnur-Baki Filialina çardırılma"/>
    <n v="1200"/>
    <n v="1800"/>
    <x v="19"/>
    <n v="3000"/>
    <s v="0%"/>
    <d v="2026-04-30T00:00:00"/>
    <s v="Saturday"/>
  </r>
  <r>
    <s v="TX1114"/>
    <x v="32"/>
    <x v="4"/>
    <x v="2"/>
    <x v="3"/>
    <x v="0"/>
    <n v="1"/>
    <s v="Tamamlandı"/>
    <n v="513249684"/>
    <s v="EQ-1114"/>
    <s v="Elnur-Gəncə Filialina çardırılma"/>
    <n v="400"/>
    <n v="650"/>
    <x v="28"/>
    <n v="250"/>
    <s v="0%"/>
    <d v="2026-03-31T00:00:00"/>
    <s v="Sunday"/>
  </r>
  <r>
    <s v="TX1115"/>
    <x v="52"/>
    <x v="7"/>
    <x v="3"/>
    <x v="3"/>
    <x v="0"/>
    <n v="4"/>
    <s v="Tamamlandı"/>
    <n v="774511609"/>
    <s v="LƏ-1115"/>
    <s v="Leyla-Gəncə Filialina çardırılma"/>
    <n v="600"/>
    <n v="950"/>
    <x v="29"/>
    <n v="1400"/>
    <s v="0%"/>
    <d v="2026-05-31T00:00:00"/>
    <s v="Friday"/>
  </r>
  <r>
    <s v="TX1116"/>
    <x v="65"/>
    <x v="6"/>
    <x v="1"/>
    <x v="1"/>
    <x v="0"/>
    <n v="4"/>
    <s v="Tamamlandı"/>
    <n v="514886416"/>
    <s v="AV-1116"/>
    <s v="Aysel-Bakı Filialina çardırılma"/>
    <n v="15"/>
    <n v="45"/>
    <x v="22"/>
    <n v="120"/>
    <s v="0%"/>
    <d v="2026-04-30T00:00:00"/>
    <s v="Saturday"/>
  </r>
  <r>
    <s v="TX1117"/>
    <x v="1"/>
    <x v="2"/>
    <x v="3"/>
    <x v="0"/>
    <x v="2"/>
    <n v="5"/>
    <s v="Tamamlandı"/>
    <n v="552244393"/>
    <s v="MI-1117"/>
    <s v="Murad-Sumqayit Filialina çardırılma"/>
    <n v="600"/>
    <n v="950"/>
    <x v="26"/>
    <n v="1750"/>
    <s v="0%"/>
    <s v=""/>
    <s v="Sunday"/>
  </r>
  <r>
    <s v="TX1118"/>
    <x v="79"/>
    <x v="7"/>
    <x v="1"/>
    <x v="0"/>
    <x v="1"/>
    <n v="9"/>
    <s v="Tamamlandı"/>
    <n v="559453108"/>
    <s v="LƏ-1118"/>
    <s v="Leyla-Sumqayit Filialina çardırılma"/>
    <n v="15"/>
    <n v="45"/>
    <x v="30"/>
    <n v="270"/>
    <s v="0%"/>
    <s v=""/>
    <s v="Saturday"/>
  </r>
  <r>
    <s v="TX1119"/>
    <x v="70"/>
    <x v="0"/>
    <x v="0"/>
    <x v="0"/>
    <x v="0"/>
    <n v="9"/>
    <s v="Tamamlandı"/>
    <n v="514387821"/>
    <s v="RH-1119"/>
    <s v="Ramil-Sumqayit Filialina çardırılma"/>
    <n v="1200"/>
    <n v="1800"/>
    <x v="35"/>
    <n v="5400"/>
    <s v="0%"/>
    <d v="2026-04-30T00:00:00"/>
    <s v="Thursday"/>
  </r>
  <r>
    <s v="TX1120"/>
    <x v="80"/>
    <x v="5"/>
    <x v="0"/>
    <x v="0"/>
    <x v="3"/>
    <n v="3"/>
    <s v="Tamamlandı"/>
    <n v="700259716"/>
    <s v="ƏM-1120"/>
    <s v="Əli-Sumqayıt Filialina çardırılma"/>
    <n v="1200"/>
    <n v="1800"/>
    <x v="4"/>
    <n v="1800"/>
    <s v="0%"/>
    <s v=""/>
    <s v="Friday"/>
  </r>
  <r>
    <s v="TX1121"/>
    <x v="81"/>
    <x v="0"/>
    <x v="3"/>
    <x v="1"/>
    <x v="1"/>
    <n v="4"/>
    <s v="Tamamlandı"/>
    <n v="779691893"/>
    <s v="RH-1121"/>
    <s v="Ramil-Bakı Filialina çardırılma"/>
    <n v="600"/>
    <n v="950"/>
    <x v="29"/>
    <n v="1400"/>
    <s v="0%"/>
    <s v=""/>
    <s v="Sunday"/>
  </r>
  <r>
    <s v="TX1122"/>
    <x v="65"/>
    <x v="7"/>
    <x v="0"/>
    <x v="3"/>
    <x v="2"/>
    <n v="7"/>
    <s v="Tamamlandı"/>
    <n v="706506834"/>
    <s v="LƏ-1122"/>
    <s v="Leyla-Gəncə Filialina çardırılma"/>
    <n v="1200"/>
    <n v="1800"/>
    <x v="9"/>
    <n v="4200"/>
    <n v="1620"/>
    <s v=""/>
    <s v="Saturday"/>
  </r>
  <r>
    <s v="TX1123"/>
    <x v="36"/>
    <x v="4"/>
    <x v="1"/>
    <x v="1"/>
    <x v="0"/>
    <n v="1"/>
    <s v="Tamamlandı"/>
    <n v="557054526"/>
    <s v="EQ-1123"/>
    <s v="Elnur-Baki Filialina çardırılma"/>
    <n v="15"/>
    <n v="45"/>
    <x v="2"/>
    <n v="30"/>
    <s v="0%"/>
    <d v="2026-05-31T00:00:00"/>
    <s v="Tuesday"/>
  </r>
  <r>
    <s v="TX1124"/>
    <x v="82"/>
    <x v="4"/>
    <x v="3"/>
    <x v="1"/>
    <x v="2"/>
    <n v="9"/>
    <s v="Tamamlandı"/>
    <n v="773523832"/>
    <s v="EQ-1124"/>
    <s v="Elnur-Bakı Filialina çardırılma"/>
    <n v="600"/>
    <n v="950"/>
    <x v="10"/>
    <n v="3150"/>
    <n v="855"/>
    <s v=""/>
    <s v="Friday"/>
  </r>
  <r>
    <s v="TX1125"/>
    <x v="70"/>
    <x v="5"/>
    <x v="0"/>
    <x v="2"/>
    <x v="2"/>
    <n v="2"/>
    <s v="Tamamlandı"/>
    <n v="516165216"/>
    <s v="ƏM-1125"/>
    <s v="Əli-Gence Filialina çardırılma"/>
    <n v="1200"/>
    <n v="1800"/>
    <x v="13"/>
    <n v="1200"/>
    <s v="0%"/>
    <s v=""/>
    <s v="Thursday"/>
  </r>
  <r>
    <s v="TX1126"/>
    <x v="41"/>
    <x v="7"/>
    <x v="2"/>
    <x v="0"/>
    <x v="2"/>
    <n v="2"/>
    <s v="Tamamlandı"/>
    <n v="707437941"/>
    <s v="LƏ-1126"/>
    <s v="Leyla-Sumqayıt Filialina çardırılma"/>
    <n v="400"/>
    <n v="650"/>
    <x v="36"/>
    <n v="500"/>
    <s v="0%"/>
    <s v=""/>
    <s v="Monday"/>
  </r>
  <r>
    <s v="TX1127"/>
    <x v="83"/>
    <x v="1"/>
    <x v="1"/>
    <x v="0"/>
    <x v="0"/>
    <n v="1"/>
    <s v="Tamamlandı"/>
    <n v="551783166"/>
    <s v="ZM-1127"/>
    <s v="Zaur-Sumqayıt Filialina çardırılma"/>
    <n v="15"/>
    <n v="45"/>
    <x v="2"/>
    <n v="30"/>
    <s v="0%"/>
    <d v="2026-01-31T00:00:00"/>
    <s v="Friday"/>
  </r>
  <r>
    <s v="TX1128"/>
    <x v="34"/>
    <x v="1"/>
    <x v="1"/>
    <x v="3"/>
    <x v="2"/>
    <n v="9"/>
    <s v="Tamamlandı"/>
    <n v="500220542"/>
    <s v="ZM-1128"/>
    <s v="Zaur-Gəncə Filialina çardırılma"/>
    <n v="15"/>
    <n v="45"/>
    <x v="30"/>
    <n v="270"/>
    <n v="40.5"/>
    <s v=""/>
    <s v="Wednesday"/>
  </r>
  <r>
    <s v="TX1129"/>
    <x v="43"/>
    <x v="1"/>
    <x v="1"/>
    <x v="3"/>
    <x v="2"/>
    <n v="3"/>
    <s v="Tamamlandı"/>
    <n v="774293494"/>
    <s v="ZM-1129"/>
    <s v="Zaur-Gəncə Filialina çardırılma"/>
    <n v="15"/>
    <n v="45"/>
    <x v="5"/>
    <n v="90"/>
    <s v="0%"/>
    <s v=""/>
    <s v="Friday"/>
  </r>
  <r>
    <s v="TX1130"/>
    <x v="81"/>
    <x v="4"/>
    <x v="2"/>
    <x v="2"/>
    <x v="1"/>
    <n v="5"/>
    <s v="Tamamlandı"/>
    <n v="502375876"/>
    <s v="EQ-1130"/>
    <s v="Elnur-Gence Filialina çardırılma"/>
    <n v="400"/>
    <n v="650"/>
    <x v="12"/>
    <n v="1250"/>
    <s v="0%"/>
    <s v=""/>
    <s v="Sunday"/>
  </r>
  <r>
    <s v="TX1131"/>
    <x v="84"/>
    <x v="3"/>
    <x v="1"/>
    <x v="1"/>
    <x v="0"/>
    <n v="1"/>
    <s v="Tamamlandı"/>
    <n v="777315023"/>
    <s v="NM-1131"/>
    <s v="Nərgin-Bakı Filialina çardırılma"/>
    <n v="15"/>
    <n v="45"/>
    <x v="2"/>
    <n v="30"/>
    <s v="0%"/>
    <d v="2026-04-30T00:00:00"/>
    <s v="Sunday"/>
  </r>
  <r>
    <s v="TX1132"/>
    <x v="85"/>
    <x v="6"/>
    <x v="3"/>
    <x v="0"/>
    <x v="2"/>
    <n v="10"/>
    <s v="Tamamlandı"/>
    <n v="776422771"/>
    <s v="AV-1132"/>
    <s v="Aysel-Sumqayıt Filialina çardırılma"/>
    <n v="600"/>
    <n v="950"/>
    <x v="8"/>
    <n v="3500"/>
    <n v="855"/>
    <s v=""/>
    <s v="Thursday"/>
  </r>
  <r>
    <s v="TX1133"/>
    <x v="55"/>
    <x v="4"/>
    <x v="1"/>
    <x v="1"/>
    <x v="0"/>
    <n v="8"/>
    <s v="Tamamlandı"/>
    <n v="706833888"/>
    <s v="EQ-1133"/>
    <s v="Elnur-Bakı Filialina çardırılma"/>
    <n v="15"/>
    <n v="45"/>
    <x v="14"/>
    <n v="240"/>
    <s v="0%"/>
    <d v="2026-06-30T00:00:00"/>
    <s v="Tuesday"/>
  </r>
  <r>
    <s v="TX1134"/>
    <x v="86"/>
    <x v="0"/>
    <x v="2"/>
    <x v="1"/>
    <x v="2"/>
    <n v="4"/>
    <s v="Tamamlandı"/>
    <n v="517030747"/>
    <s v="RH-1134"/>
    <s v="Ramil-Baki Filialina çardırılma"/>
    <n v="400"/>
    <n v="650"/>
    <x v="20"/>
    <n v="1000"/>
    <s v="0%"/>
    <s v=""/>
    <s v="Sunday"/>
  </r>
  <r>
    <s v="TX1135"/>
    <x v="57"/>
    <x v="0"/>
    <x v="1"/>
    <x v="1"/>
    <x v="0"/>
    <n v="6"/>
    <s v="Tamamlandı"/>
    <n v="505436656"/>
    <s v="RH-1135"/>
    <s v="Ramil-Baki Filialina çardırılma"/>
    <n v="15"/>
    <n v="45"/>
    <x v="31"/>
    <n v="180"/>
    <s v="0%"/>
    <d v="2026-03-31T00:00:00"/>
    <s v="Thursday"/>
  </r>
  <r>
    <s v="TX1136"/>
    <x v="87"/>
    <x v="3"/>
    <x v="2"/>
    <x v="2"/>
    <x v="2"/>
    <n v="5"/>
    <s v="Tamamlandı"/>
    <n v="506996572"/>
    <s v="NM-1136"/>
    <s v="Nərgin-Gence Filialina çardırılma"/>
    <n v="400"/>
    <n v="650"/>
    <x v="12"/>
    <n v="1250"/>
    <s v="0%"/>
    <s v=""/>
    <s v="Wednesday"/>
  </r>
  <r>
    <s v="TX1137"/>
    <x v="88"/>
    <x v="7"/>
    <x v="0"/>
    <x v="0"/>
    <x v="0"/>
    <n v="2"/>
    <s v="Tamamlandı"/>
    <n v="558306674"/>
    <s v="LƏ-1137"/>
    <s v="Leyla-Sumqayıt Filialina çardırılma"/>
    <n v="1200"/>
    <n v="1800"/>
    <x v="13"/>
    <n v="1200"/>
    <s v="0%"/>
    <d v="2026-01-31T00:00:00"/>
    <s v="Monday"/>
  </r>
  <r>
    <s v="TX1138"/>
    <x v="67"/>
    <x v="1"/>
    <x v="1"/>
    <x v="0"/>
    <x v="2"/>
    <n v="8"/>
    <s v="Tamamlandı"/>
    <n v="558311712"/>
    <s v="ZM-1138"/>
    <s v="Zaur-Sumqayıt Filialina çardırılma"/>
    <n v="15"/>
    <n v="45"/>
    <x v="14"/>
    <n v="240"/>
    <n v="40.5"/>
    <s v=""/>
    <s v="Monday"/>
  </r>
  <r>
    <s v="TX1139"/>
    <x v="3"/>
    <x v="4"/>
    <x v="3"/>
    <x v="3"/>
    <x v="0"/>
    <n v="5"/>
    <s v="Tamamlandı"/>
    <n v="779546628"/>
    <s v="EQ-1139"/>
    <s v="Elnur-Gəncə Filialina çardırılma"/>
    <n v="600"/>
    <n v="950"/>
    <x v="26"/>
    <n v="1750"/>
    <s v="0%"/>
    <d v="2026-05-31T00:00:00"/>
    <s v="Friday"/>
  </r>
  <r>
    <s v="TX1140"/>
    <x v="89"/>
    <x v="2"/>
    <x v="3"/>
    <x v="4"/>
    <x v="2"/>
    <n v="3"/>
    <s v="Tamamlandı"/>
    <n v="704020235"/>
    <s v="MI-1140"/>
    <s v="Murad-Naməlum Filialina çardırılma"/>
    <n v="600"/>
    <n v="950"/>
    <x v="18"/>
    <n v="1050"/>
    <s v="0%"/>
    <s v=""/>
    <s v="Sunday"/>
  </r>
  <r>
    <s v="TX1141"/>
    <x v="76"/>
    <x v="6"/>
    <x v="0"/>
    <x v="3"/>
    <x v="2"/>
    <n v="10"/>
    <s v="Tamamlandı"/>
    <n v="708842378"/>
    <s v="AV-1141"/>
    <s v="Aysel-Gəncə Filialina çardırılma"/>
    <n v="1200"/>
    <n v="1800"/>
    <x v="25"/>
    <n v="6000"/>
    <n v="1620"/>
    <s v=""/>
    <s v="Thursday"/>
  </r>
  <r>
    <s v="TX1142"/>
    <x v="90"/>
    <x v="0"/>
    <x v="3"/>
    <x v="1"/>
    <x v="0"/>
    <n v="4"/>
    <s v="Tamamlandı"/>
    <n v="705896912"/>
    <s v="RH-1142"/>
    <s v="Ramil-Baki Filialina çardırılma"/>
    <n v="600"/>
    <n v="950"/>
    <x v="29"/>
    <n v="1400"/>
    <s v="0%"/>
    <d v="2026-03-31T00:00:00"/>
    <s v="Sunday"/>
  </r>
  <r>
    <s v="TX1143"/>
    <x v="14"/>
    <x v="0"/>
    <x v="3"/>
    <x v="1"/>
    <x v="0"/>
    <n v="9"/>
    <s v="Tamamlandı"/>
    <n v="500769196"/>
    <s v="RH-1143"/>
    <s v="Ramil-Baki Filialina çardırılma"/>
    <n v="600"/>
    <n v="950"/>
    <x v="10"/>
    <n v="3150"/>
    <s v="0%"/>
    <d v="2026-03-31T00:00:00"/>
    <s v="Tuesday"/>
  </r>
  <r>
    <s v="TX1144"/>
    <x v="15"/>
    <x v="5"/>
    <x v="1"/>
    <x v="3"/>
    <x v="2"/>
    <n v="2"/>
    <s v="Tamamlandı"/>
    <n v="705886501"/>
    <s v="ƏM-1144"/>
    <s v="Əli-Gəncə Filialina çardırılma"/>
    <n v="15"/>
    <n v="45"/>
    <x v="32"/>
    <n v="60"/>
    <s v="0%"/>
    <s v=""/>
    <s v="Thursday"/>
  </r>
  <r>
    <s v="TX1145"/>
    <x v="1"/>
    <x v="7"/>
    <x v="1"/>
    <x v="1"/>
    <x v="2"/>
    <n v="7"/>
    <s v="Tamamlandı"/>
    <n v="510875220"/>
    <s v="LƏ-1145"/>
    <s v="Leyla-Bakı Filialina çardırılma"/>
    <n v="15"/>
    <n v="45"/>
    <x v="34"/>
    <n v="210"/>
    <n v="40.5"/>
    <s v=""/>
    <s v="Sunday"/>
  </r>
  <r>
    <s v="TX1146"/>
    <x v="91"/>
    <x v="2"/>
    <x v="0"/>
    <x v="2"/>
    <x v="1"/>
    <n v="1"/>
    <s v="Tamamlandı"/>
    <n v="706118657"/>
    <s v="MI-1146"/>
    <s v="Murad-Gence Filialina çardırılma"/>
    <n v="1200"/>
    <n v="1800"/>
    <x v="11"/>
    <n v="600"/>
    <s v="0%"/>
    <s v=""/>
    <s v="Friday"/>
  </r>
  <r>
    <s v="TX1147"/>
    <x v="42"/>
    <x v="1"/>
    <x v="0"/>
    <x v="0"/>
    <x v="2"/>
    <n v="4"/>
    <s v="Tamamlandı"/>
    <n v="704032642"/>
    <s v="ZM-1147"/>
    <s v="Zaur-Sumqayıt Filialina çardırılma"/>
    <n v="1200"/>
    <n v="1800"/>
    <x v="27"/>
    <n v="2400"/>
    <s v="0%"/>
    <s v=""/>
    <s v="Tuesday"/>
  </r>
  <r>
    <s v="TX1148"/>
    <x v="92"/>
    <x v="6"/>
    <x v="2"/>
    <x v="1"/>
    <x v="2"/>
    <n v="6"/>
    <s v="Tamamlandı"/>
    <n v="552179146"/>
    <s v="AV-1148"/>
    <s v="Aysel-Baki Filialina çardırılma"/>
    <n v="400"/>
    <n v="650"/>
    <x v="37"/>
    <n v="1500"/>
    <n v="585"/>
    <s v=""/>
    <s v="Saturday"/>
  </r>
  <r>
    <s v="TX1149"/>
    <x v="93"/>
    <x v="5"/>
    <x v="3"/>
    <x v="0"/>
    <x v="2"/>
    <n v="10"/>
    <s v="Tamamlandı"/>
    <n v="708217081"/>
    <s v="ƏM-1149"/>
    <s v="Əli-Sumqayit Filialina çardırılma"/>
    <n v="600"/>
    <n v="950"/>
    <x v="8"/>
    <n v="3500"/>
    <n v="855"/>
    <s v=""/>
    <s v="Monday"/>
  </r>
  <r>
    <s v="TX1150"/>
    <x v="94"/>
    <x v="7"/>
    <x v="3"/>
    <x v="1"/>
    <x v="1"/>
    <n v="4"/>
    <s v="Tamamlandı"/>
    <n v="776633689"/>
    <s v="LƏ-1150"/>
    <s v="Leyla-Baki Filialina çardırılma"/>
    <n v="600"/>
    <n v="950"/>
    <x v="29"/>
    <n v="1400"/>
    <s v="0%"/>
    <s v=""/>
    <s v="Sunday"/>
  </r>
  <r>
    <s v="TX1151"/>
    <x v="74"/>
    <x v="4"/>
    <x v="2"/>
    <x v="1"/>
    <x v="0"/>
    <n v="9"/>
    <s v="Tamamlandı"/>
    <n v="551127922"/>
    <s v="EQ-1151"/>
    <s v="Elnur-Baki Filialina çardırılma"/>
    <n v="400"/>
    <n v="650"/>
    <x v="33"/>
    <n v="2250"/>
    <s v="0%"/>
    <d v="2026-05-31T00:00:00"/>
    <s v="Sunday"/>
  </r>
  <r>
    <s v="TX1152"/>
    <x v="35"/>
    <x v="7"/>
    <x v="1"/>
    <x v="1"/>
    <x v="0"/>
    <n v="5"/>
    <s v="Tamamlandı"/>
    <n v="558104978"/>
    <s v="LƏ-1152"/>
    <s v="Leyla-Bakı Filialina çardırılma"/>
    <n v="15"/>
    <n v="45"/>
    <x v="1"/>
    <n v="150"/>
    <s v="0%"/>
    <d v="2026-01-31T00:00:00"/>
    <s v="Friday"/>
  </r>
  <r>
    <s v="TX1153"/>
    <x v="24"/>
    <x v="4"/>
    <x v="0"/>
    <x v="0"/>
    <x v="2"/>
    <n v="5"/>
    <s v="Tamamlandı"/>
    <n v="773686243"/>
    <s v="EQ-1153"/>
    <s v="Elnur-Sumqayit Filialina çardırılma"/>
    <n v="1200"/>
    <n v="1800"/>
    <x v="19"/>
    <n v="3000"/>
    <s v="0%"/>
    <s v=""/>
    <s v="Monday"/>
  </r>
  <r>
    <s v="TX1154"/>
    <x v="6"/>
    <x v="7"/>
    <x v="1"/>
    <x v="0"/>
    <x v="2"/>
    <n v="1"/>
    <s v="Tamamlandı"/>
    <n v="709874139"/>
    <s v="LƏ-1154"/>
    <s v="Leyla-Sumqayıt Filialina çardırılma"/>
    <n v="15"/>
    <n v="45"/>
    <x v="2"/>
    <n v="30"/>
    <s v="0%"/>
    <s v=""/>
    <s v="Friday"/>
  </r>
  <r>
    <s v="TX1155"/>
    <x v="95"/>
    <x v="0"/>
    <x v="2"/>
    <x v="0"/>
    <x v="2"/>
    <n v="5"/>
    <s v="Tamamlandı"/>
    <n v="511590046"/>
    <s v="RH-1155"/>
    <s v="Ramil-Sumqayıt Filialina çardırılma"/>
    <n v="400"/>
    <n v="650"/>
    <x v="12"/>
    <n v="1250"/>
    <s v="0%"/>
    <s v=""/>
    <s v="Saturday"/>
  </r>
  <r>
    <s v="TX1156"/>
    <x v="22"/>
    <x v="7"/>
    <x v="1"/>
    <x v="1"/>
    <x v="2"/>
    <n v="9"/>
    <s v="Tamamlandı"/>
    <n v="555872040"/>
    <s v="LƏ-1156"/>
    <s v="Leyla-Baki Filialina çardırılma"/>
    <n v="15"/>
    <n v="45"/>
    <x v="30"/>
    <n v="270"/>
    <n v="40.5"/>
    <s v=""/>
    <s v="Tuesday"/>
  </r>
  <r>
    <s v="TX1157"/>
    <x v="96"/>
    <x v="1"/>
    <x v="2"/>
    <x v="0"/>
    <x v="2"/>
    <n v="10"/>
    <s v="Tamamlandı"/>
    <n v="556176612"/>
    <s v="ZM-1157"/>
    <s v="Zaur-Sumqayit Filialina çardırılma"/>
    <n v="400"/>
    <n v="650"/>
    <x v="6"/>
    <n v="2500"/>
    <n v="585"/>
    <s v=""/>
    <s v="Thursday"/>
  </r>
  <r>
    <s v="TX1158"/>
    <x v="70"/>
    <x v="7"/>
    <x v="3"/>
    <x v="3"/>
    <x v="1"/>
    <n v="7"/>
    <s v="Tamamlandı"/>
    <n v="772640901"/>
    <s v="LƏ-1158"/>
    <s v="Leyla-Gəncə Filialina çardırılma"/>
    <n v="600"/>
    <n v="950"/>
    <x v="17"/>
    <n v="2450"/>
    <s v="0%"/>
    <s v=""/>
    <s v="Thursday"/>
  </r>
  <r>
    <s v="TX1159"/>
    <x v="97"/>
    <x v="4"/>
    <x v="0"/>
    <x v="3"/>
    <x v="1"/>
    <n v="8"/>
    <s v="Tamamlandı"/>
    <n v="776471432"/>
    <s v="EQ-1159"/>
    <s v="Elnur-Gəncə Filialina çardırılma"/>
    <n v="1200"/>
    <n v="1800"/>
    <x v="0"/>
    <n v="4800"/>
    <s v="0%"/>
    <s v=""/>
    <s v="Wednesday"/>
  </r>
  <r>
    <s v="TX1160"/>
    <x v="1"/>
    <x v="6"/>
    <x v="1"/>
    <x v="3"/>
    <x v="0"/>
    <n v="1"/>
    <s v="Tamamlandı"/>
    <n v="507705046"/>
    <s v="AV-1160"/>
    <s v="Aysel-Gəncə Filialina çardırılma"/>
    <n v="15"/>
    <n v="45"/>
    <x v="2"/>
    <n v="30"/>
    <s v="0%"/>
    <d v="2026-05-31T00:00:00"/>
    <s v="Sunday"/>
  </r>
  <r>
    <s v="TX1161"/>
    <x v="53"/>
    <x v="1"/>
    <x v="0"/>
    <x v="3"/>
    <x v="2"/>
    <n v="5"/>
    <s v="Tamamlandı"/>
    <n v="703228844"/>
    <s v="ZM-1161"/>
    <s v="Zaur-Gəncə Filialina çardırılma"/>
    <n v="1200"/>
    <n v="1800"/>
    <x v="19"/>
    <n v="3000"/>
    <s v="0%"/>
    <s v=""/>
    <s v="Monday"/>
  </r>
  <r>
    <s v="TX1162"/>
    <x v="40"/>
    <x v="5"/>
    <x v="2"/>
    <x v="1"/>
    <x v="2"/>
    <n v="8"/>
    <s v="Tamamlandı"/>
    <n v="553421038"/>
    <s v="ƏM-1162"/>
    <s v="Əli-Bakı Filialina çardırılma"/>
    <n v="400"/>
    <n v="650"/>
    <x v="23"/>
    <n v="2000"/>
    <n v="585"/>
    <s v=""/>
    <s v="Friday"/>
  </r>
  <r>
    <s v="TX1163"/>
    <x v="12"/>
    <x v="2"/>
    <x v="1"/>
    <x v="1"/>
    <x v="1"/>
    <n v="5"/>
    <s v="Tamamlandı"/>
    <n v="514961807"/>
    <s v="MI-1163"/>
    <s v="Murad-Baki Filialina çardırılma"/>
    <n v="15"/>
    <n v="45"/>
    <x v="1"/>
    <n v="150"/>
    <s v="0%"/>
    <s v=""/>
    <s v="Monday"/>
  </r>
  <r>
    <s v="TX1164"/>
    <x v="98"/>
    <x v="2"/>
    <x v="2"/>
    <x v="2"/>
    <x v="0"/>
    <n v="5"/>
    <s v="Tamamlandı"/>
    <n v="554237206"/>
    <s v="MI-1164"/>
    <s v="Murad-Gence Filialina çardırılma"/>
    <n v="400"/>
    <n v="650"/>
    <x v="12"/>
    <n v="1250"/>
    <s v="0%"/>
    <d v="2026-03-31T00:00:00"/>
    <s v="Friday"/>
  </r>
  <r>
    <s v="TX1165"/>
    <x v="99"/>
    <x v="7"/>
    <x v="1"/>
    <x v="0"/>
    <x v="1"/>
    <n v="7"/>
    <s v="Tamamlandı"/>
    <n v="513000909"/>
    <s v="LƏ-1165"/>
    <s v="Leyla-Sumqayit Filialina çardırılma"/>
    <n v="15"/>
    <n v="45"/>
    <x v="34"/>
    <n v="210"/>
    <s v="0%"/>
    <s v=""/>
    <s v="Tuesday"/>
  </r>
  <r>
    <s v="TX1166"/>
    <x v="23"/>
    <x v="3"/>
    <x v="1"/>
    <x v="2"/>
    <x v="0"/>
    <n v="8"/>
    <s v="Tamamlandı"/>
    <n v="774108255"/>
    <s v="NM-1166"/>
    <s v="Nərgin-Gence Filialina çardırılma"/>
    <n v="15"/>
    <n v="45"/>
    <x v="14"/>
    <n v="240"/>
    <s v="0%"/>
    <d v="2026-03-31T00:00:00"/>
    <s v="Friday"/>
  </r>
  <r>
    <s v="TX1167"/>
    <x v="43"/>
    <x v="6"/>
    <x v="3"/>
    <x v="0"/>
    <x v="2"/>
    <n v="9"/>
    <s v="Tamamlandı"/>
    <n v="703619309"/>
    <s v="AV-1167"/>
    <s v="Aysel-Sumqayıt Filialina çardırılma"/>
    <n v="600"/>
    <n v="950"/>
    <x v="10"/>
    <n v="3150"/>
    <n v="855"/>
    <s v=""/>
    <s v="Friday"/>
  </r>
  <r>
    <s v="TX1168"/>
    <x v="100"/>
    <x v="2"/>
    <x v="2"/>
    <x v="3"/>
    <x v="0"/>
    <n v="8"/>
    <s v="Tamamlandı"/>
    <n v="778176609"/>
    <s v="MI-1168"/>
    <s v="Murad-Gəncə Filialina çardırılma"/>
    <n v="400"/>
    <n v="650"/>
    <x v="23"/>
    <n v="2000"/>
    <s v="0%"/>
    <d v="2026-03-31T00:00:00"/>
    <s v="Tuesday"/>
  </r>
  <r>
    <s v="TX1169"/>
    <x v="50"/>
    <x v="4"/>
    <x v="3"/>
    <x v="1"/>
    <x v="1"/>
    <n v="9"/>
    <s v="Tamamlandı"/>
    <n v="518134699"/>
    <s v="EQ-1169"/>
    <s v="Elnur-Baki Filialina çardırılma"/>
    <n v="600"/>
    <n v="950"/>
    <x v="10"/>
    <n v="3150"/>
    <s v="0%"/>
    <s v=""/>
    <s v="Wednesday"/>
  </r>
  <r>
    <s v="TX1170"/>
    <x v="101"/>
    <x v="3"/>
    <x v="2"/>
    <x v="0"/>
    <x v="2"/>
    <n v="3"/>
    <s v="Tamamlandı"/>
    <n v="556722436"/>
    <s v="NM-1170"/>
    <s v="Nərgin-Sumqayit Filialina çardırılma"/>
    <n v="400"/>
    <n v="650"/>
    <x v="38"/>
    <n v="750"/>
    <s v="0%"/>
    <s v=""/>
    <s v="Sunday"/>
  </r>
  <r>
    <s v="TX1171"/>
    <x v="102"/>
    <x v="0"/>
    <x v="2"/>
    <x v="1"/>
    <x v="1"/>
    <n v="4"/>
    <s v="Tamamlandı"/>
    <n v="551286333"/>
    <s v="RH-1171"/>
    <s v="Ramil-Bakı Filialina çardırılma"/>
    <n v="400"/>
    <n v="650"/>
    <x v="20"/>
    <n v="1000"/>
    <s v="0%"/>
    <s v=""/>
    <s v="Wednesday"/>
  </r>
  <r>
    <s v="TX1172"/>
    <x v="45"/>
    <x v="4"/>
    <x v="3"/>
    <x v="1"/>
    <x v="2"/>
    <n v="9"/>
    <s v="Tamamlandı"/>
    <n v="559182933"/>
    <s v="EQ-1172"/>
    <s v="Elnur-Baki Filialina çardırılma"/>
    <n v="600"/>
    <n v="950"/>
    <x v="10"/>
    <n v="3150"/>
    <n v="855"/>
    <s v=""/>
    <s v="Wednesday"/>
  </r>
  <r>
    <s v="TX1173"/>
    <x v="61"/>
    <x v="6"/>
    <x v="3"/>
    <x v="1"/>
    <x v="0"/>
    <n v="9"/>
    <s v="Tamamlandı"/>
    <n v="554681024"/>
    <s v="AV-1173"/>
    <s v="Aysel-Bakı Filialina çardırılma"/>
    <n v="600"/>
    <n v="950"/>
    <x v="10"/>
    <n v="3150"/>
    <s v="0%"/>
    <d v="2026-04-30T00:00:00"/>
    <s v="Saturday"/>
  </r>
  <r>
    <s v="TX1174"/>
    <x v="40"/>
    <x v="3"/>
    <x v="2"/>
    <x v="1"/>
    <x v="2"/>
    <n v="7"/>
    <s v="Tamamlandı"/>
    <n v="516743138"/>
    <s v="NM-1174"/>
    <s v="Nərgin-Baki Filialina çardırılma"/>
    <n v="400"/>
    <n v="650"/>
    <x v="39"/>
    <n v="1750"/>
    <n v="585"/>
    <s v=""/>
    <s v="Friday"/>
  </r>
  <r>
    <s v="TX1175"/>
    <x v="3"/>
    <x v="4"/>
    <x v="1"/>
    <x v="4"/>
    <x v="0"/>
    <n v="9"/>
    <s v="Tamamlandı"/>
    <n v="516977565"/>
    <s v="EQ-1175"/>
    <s v="Elnur-Naməlum Filialina çardırılma"/>
    <n v="15"/>
    <n v="45"/>
    <x v="30"/>
    <n v="270"/>
    <s v="0%"/>
    <d v="2026-05-31T00:00:00"/>
    <s v="Friday"/>
  </r>
  <r>
    <s v="TX1176"/>
    <x v="65"/>
    <x v="6"/>
    <x v="3"/>
    <x v="1"/>
    <x v="2"/>
    <n v="9"/>
    <s v="Tamamlandı"/>
    <n v="518198654"/>
    <s v="AV-1176"/>
    <s v="Aysel-Bakı Filialina çardırılma"/>
    <n v="600"/>
    <n v="950"/>
    <x v="10"/>
    <n v="3150"/>
    <n v="855"/>
    <s v=""/>
    <s v="Saturday"/>
  </r>
  <r>
    <s v="TX1177"/>
    <x v="93"/>
    <x v="5"/>
    <x v="2"/>
    <x v="1"/>
    <x v="2"/>
    <n v="1"/>
    <s v="Tamamlandı"/>
    <n v="709067253"/>
    <s v="ƏM-1177"/>
    <s v="Əli-Bakı Filialina çardırılma"/>
    <n v="400"/>
    <n v="650"/>
    <x v="28"/>
    <n v="250"/>
    <s v="0%"/>
    <s v=""/>
    <s v="Monday"/>
  </r>
  <r>
    <s v="TX1178"/>
    <x v="103"/>
    <x v="3"/>
    <x v="1"/>
    <x v="1"/>
    <x v="2"/>
    <n v="3"/>
    <s v="Tamamlandı"/>
    <n v="519153458"/>
    <s v="NM-1178"/>
    <s v="Nərgin-Bakı Filialina çardırılma"/>
    <n v="15"/>
    <n v="45"/>
    <x v="5"/>
    <n v="90"/>
    <s v="0%"/>
    <s v=""/>
    <s v="Wednesday"/>
  </r>
  <r>
    <s v="TX1179"/>
    <x v="35"/>
    <x v="5"/>
    <x v="1"/>
    <x v="0"/>
    <x v="0"/>
    <n v="4"/>
    <s v="Tamamlandı"/>
    <n v="509961073"/>
    <s v="ƏM-1179"/>
    <s v="Əli-Sumqayıt Filialina çardırılma"/>
    <n v="15"/>
    <n v="45"/>
    <x v="22"/>
    <n v="120"/>
    <s v="0%"/>
    <d v="2026-01-31T00:00:00"/>
    <s v="Friday"/>
  </r>
  <r>
    <s v="TX1180"/>
    <x v="58"/>
    <x v="6"/>
    <x v="3"/>
    <x v="3"/>
    <x v="3"/>
    <n v="10"/>
    <s v="Tamamlandı"/>
    <n v="704188845"/>
    <s v="AV-1180"/>
    <s v="Aysel-Gəncə Filialina çardırılma"/>
    <n v="600"/>
    <n v="950"/>
    <x v="8"/>
    <n v="3500"/>
    <s v="0%"/>
    <s v=""/>
    <s v="Monday"/>
  </r>
  <r>
    <s v="TX1181"/>
    <x v="79"/>
    <x v="3"/>
    <x v="0"/>
    <x v="1"/>
    <x v="2"/>
    <n v="6"/>
    <s v="Tamamlandı"/>
    <n v="515835450"/>
    <s v="NM-1181"/>
    <s v="Nərgin-Baki Filialina çardırılma"/>
    <n v="1200"/>
    <n v="1800"/>
    <x v="3"/>
    <n v="3600"/>
    <n v="1620"/>
    <s v=""/>
    <s v="Saturday"/>
  </r>
  <r>
    <s v="TX1182"/>
    <x v="103"/>
    <x v="7"/>
    <x v="3"/>
    <x v="3"/>
    <x v="0"/>
    <n v="4"/>
    <s v="Tamamlandı"/>
    <n v="506392783"/>
    <s v="LƏ-1182"/>
    <s v="Leyla-Gəncə Filialina çardırılma"/>
    <n v="600"/>
    <n v="950"/>
    <x v="29"/>
    <n v="1400"/>
    <s v="0%"/>
    <d v="2026-05-31T00:00:00"/>
    <s v="Wednesday"/>
  </r>
  <r>
    <s v="TX1183"/>
    <x v="104"/>
    <x v="6"/>
    <x v="1"/>
    <x v="3"/>
    <x v="2"/>
    <n v="6"/>
    <s v="Tamamlandı"/>
    <n v="519980249"/>
    <s v="AV-1183"/>
    <s v="Aysel-Gəncə Filialina çardırılma"/>
    <n v="15"/>
    <n v="45"/>
    <x v="31"/>
    <n v="180"/>
    <n v="40.5"/>
    <s v=""/>
    <s v="Tuesday"/>
  </r>
  <r>
    <s v="TX1184"/>
    <x v="105"/>
    <x v="4"/>
    <x v="0"/>
    <x v="0"/>
    <x v="2"/>
    <n v="7"/>
    <s v="Tamamlandı"/>
    <n v="708402339"/>
    <s v="EQ-1184"/>
    <s v="Elnur-Sumqayit Filialina çardırılma"/>
    <n v="1200"/>
    <n v="1800"/>
    <x v="9"/>
    <n v="4200"/>
    <n v="1620"/>
    <s v=""/>
    <s v="Monday"/>
  </r>
  <r>
    <s v="TX1185"/>
    <x v="84"/>
    <x v="2"/>
    <x v="1"/>
    <x v="3"/>
    <x v="2"/>
    <n v="9"/>
    <s v="Tamamlandı"/>
    <n v="509294747"/>
    <s v="MI-1185"/>
    <s v="Murad-Gəncə Filialina çardırılma"/>
    <n v="15"/>
    <n v="45"/>
    <x v="30"/>
    <n v="270"/>
    <n v="40.5"/>
    <s v=""/>
    <s v="Sunday"/>
  </r>
  <r>
    <s v="TX1186"/>
    <x v="51"/>
    <x v="1"/>
    <x v="0"/>
    <x v="1"/>
    <x v="2"/>
    <n v="3"/>
    <s v="Tamamlandı"/>
    <n v="776821742"/>
    <s v="ZM-1186"/>
    <s v="Zaur-Bakı Filialina çardırılma"/>
    <n v="1200"/>
    <n v="1800"/>
    <x v="4"/>
    <n v="1800"/>
    <s v="0%"/>
    <s v=""/>
    <s v="Saturday"/>
  </r>
  <r>
    <s v="TX1187"/>
    <x v="54"/>
    <x v="1"/>
    <x v="0"/>
    <x v="3"/>
    <x v="2"/>
    <n v="1"/>
    <s v="Tamamlandı"/>
    <n v="519682970"/>
    <s v="ZM-1187"/>
    <s v="Zaur-Gəncə Filialina çardırılma"/>
    <n v="1200"/>
    <n v="1800"/>
    <x v="11"/>
    <n v="600"/>
    <s v="0%"/>
    <s v=""/>
    <s v="Sunday"/>
  </r>
  <r>
    <s v="TX1188"/>
    <x v="39"/>
    <x v="2"/>
    <x v="3"/>
    <x v="0"/>
    <x v="1"/>
    <n v="7"/>
    <s v="Tamamlandı"/>
    <n v="557339797"/>
    <s v="MI-1188"/>
    <s v="Murad-Sumqayit Filialina çardırılma"/>
    <n v="600"/>
    <n v="950"/>
    <x v="17"/>
    <n v="2450"/>
    <s v="0%"/>
    <s v=""/>
    <s v="Monday"/>
  </r>
  <r>
    <s v="TX1189"/>
    <x v="28"/>
    <x v="1"/>
    <x v="3"/>
    <x v="1"/>
    <x v="1"/>
    <n v="2"/>
    <s v="Tamamlandı"/>
    <n v="507890623"/>
    <s v="ZM-1189"/>
    <s v="Zaur-Baki Filialina çardırılma"/>
    <n v="600"/>
    <n v="950"/>
    <x v="21"/>
    <n v="700"/>
    <s v="0%"/>
    <s v=""/>
    <s v="Sunday"/>
  </r>
  <r>
    <s v="TX1190"/>
    <x v="9"/>
    <x v="0"/>
    <x v="3"/>
    <x v="1"/>
    <x v="2"/>
    <n v="3"/>
    <s v="Tamamlandı"/>
    <n v="503923953"/>
    <s v="RH-1190"/>
    <s v="Ramil-Bakı Filialina çardırılma"/>
    <n v="600"/>
    <n v="950"/>
    <x v="18"/>
    <n v="1050"/>
    <s v="0%"/>
    <s v=""/>
    <s v="Thursday"/>
  </r>
  <r>
    <s v="TX1191"/>
    <x v="106"/>
    <x v="3"/>
    <x v="1"/>
    <x v="0"/>
    <x v="2"/>
    <n v="3"/>
    <s v="Tamamlandı"/>
    <n v="550337939"/>
    <s v="NM-1191"/>
    <s v="Nərgin-Sumqayit Filialina çardırılma"/>
    <n v="15"/>
    <n v="45"/>
    <x v="5"/>
    <n v="90"/>
    <s v="0%"/>
    <s v=""/>
    <s v="Thursday"/>
  </r>
  <r>
    <s v="TX1192"/>
    <x v="32"/>
    <x v="4"/>
    <x v="1"/>
    <x v="1"/>
    <x v="2"/>
    <n v="10"/>
    <s v="Tamamlandı"/>
    <n v="550344218"/>
    <s v="EQ-1192"/>
    <s v="Elnur-Bakı Filialina çardırılma"/>
    <n v="15"/>
    <n v="45"/>
    <x v="24"/>
    <n v="300"/>
    <n v="40.5"/>
    <s v=""/>
    <s v="Sunday"/>
  </r>
  <r>
    <s v="TX1193"/>
    <x v="107"/>
    <x v="7"/>
    <x v="0"/>
    <x v="1"/>
    <x v="0"/>
    <n v="1"/>
    <s v="Tamamlandı"/>
    <n v="502014373"/>
    <s v="LƏ-1193"/>
    <s v="Leyla-Baki Filialina çardırılma"/>
    <n v="1200"/>
    <n v="1800"/>
    <x v="11"/>
    <n v="600"/>
    <s v="0%"/>
    <d v="2026-04-30T00:00:00"/>
    <s v="Tuesday"/>
  </r>
  <r>
    <s v="TX1194"/>
    <x v="108"/>
    <x v="6"/>
    <x v="2"/>
    <x v="1"/>
    <x v="0"/>
    <n v="5"/>
    <s v="Tamamlandı"/>
    <n v="552058967"/>
    <s v="AV-1194"/>
    <s v="Aysel-Bakı Filialina çardırılma"/>
    <n v="400"/>
    <n v="650"/>
    <x v="12"/>
    <n v="1250"/>
    <s v="0%"/>
    <d v="2026-03-31T00:00:00"/>
    <s v="Monday"/>
  </r>
  <r>
    <s v="TX1195"/>
    <x v="109"/>
    <x v="6"/>
    <x v="0"/>
    <x v="2"/>
    <x v="0"/>
    <n v="3"/>
    <s v="Tamamlandı"/>
    <n v="706200810"/>
    <s v="AV-1195"/>
    <s v="Aysel-Gence Filialina çardırılma"/>
    <n v="1200"/>
    <n v="1800"/>
    <x v="4"/>
    <n v="1800"/>
    <s v="0%"/>
    <d v="2026-04-30T00:00:00"/>
    <s v="Thursday"/>
  </r>
  <r>
    <s v="TX1196"/>
    <x v="110"/>
    <x v="3"/>
    <x v="3"/>
    <x v="1"/>
    <x v="0"/>
    <n v="5"/>
    <s v="Tamamlandı"/>
    <n v="705032748"/>
    <s v="NM-1196"/>
    <s v="Nərgin-Baki Filialina çardırılma"/>
    <n v="600"/>
    <n v="950"/>
    <x v="26"/>
    <n v="1750"/>
    <s v="0%"/>
    <d v="2026-04-30T00:00:00"/>
    <s v="Saturday"/>
  </r>
  <r>
    <s v="TX1197"/>
    <x v="111"/>
    <x v="3"/>
    <x v="1"/>
    <x v="2"/>
    <x v="0"/>
    <n v="2"/>
    <s v="Tamamlandı"/>
    <n v="700125551"/>
    <s v="NM-1197"/>
    <s v="Nərgin-Gence Filialina çardırılma"/>
    <n v="15"/>
    <n v="45"/>
    <x v="32"/>
    <n v="60"/>
    <s v="0%"/>
    <d v="2026-04-30T00:00:00"/>
    <s v="Friday"/>
  </r>
  <r>
    <s v="TX1198"/>
    <x v="112"/>
    <x v="4"/>
    <x v="0"/>
    <x v="2"/>
    <x v="0"/>
    <n v="10"/>
    <s v="Tamamlandı"/>
    <n v="550039224"/>
    <s v="EQ-1198"/>
    <s v="Elnur-Gence Filialina çardırılma"/>
    <n v="1200"/>
    <n v="1800"/>
    <x v="25"/>
    <n v="6000"/>
    <s v="0%"/>
    <d v="2026-04-30T00:00:00"/>
    <s v="Thursday"/>
  </r>
  <r>
    <s v="TX1199"/>
    <x v="43"/>
    <x v="3"/>
    <x v="0"/>
    <x v="3"/>
    <x v="2"/>
    <n v="2"/>
    <s v="Tamamlandı"/>
    <n v="550109216"/>
    <s v="NM-1199"/>
    <s v="Nərgin-Gəncə Filialina çardırılma"/>
    <n v="1200"/>
    <n v="1800"/>
    <x v="13"/>
    <n v="1200"/>
    <s v="0%"/>
    <s v=""/>
    <s v="Friday"/>
  </r>
  <r>
    <s v="TX1200"/>
    <x v="110"/>
    <x v="3"/>
    <x v="1"/>
    <x v="2"/>
    <x v="1"/>
    <n v="6"/>
    <s v="Tamamlandı"/>
    <n v="550392874"/>
    <s v="NM-1200"/>
    <s v="Nərgin-Gence Filialina çardırılma"/>
    <n v="15"/>
    <n v="45"/>
    <x v="31"/>
    <n v="180"/>
    <s v="0%"/>
    <s v=""/>
    <s v="Saturday"/>
  </r>
  <r>
    <s v="TX1201"/>
    <x v="14"/>
    <x v="6"/>
    <x v="3"/>
    <x v="0"/>
    <x v="0"/>
    <n v="1"/>
    <s v="Tamamlandı"/>
    <n v="519878606"/>
    <s v="AV-1201"/>
    <s v="Aysel-Sumqayit Filialina çardırılma"/>
    <n v="600"/>
    <n v="950"/>
    <x v="16"/>
    <n v="350"/>
    <s v="0%"/>
    <d v="2026-03-31T00:00:00"/>
    <s v="Tuesday"/>
  </r>
  <r>
    <s v="TX1202"/>
    <x v="113"/>
    <x v="5"/>
    <x v="1"/>
    <x v="1"/>
    <x v="1"/>
    <n v="10"/>
    <s v="Tamamlandı"/>
    <n v="506107206"/>
    <s v="ƏM-1202"/>
    <s v="Əli-Bakı Filialina çardırılma"/>
    <n v="15"/>
    <n v="45"/>
    <x v="24"/>
    <n v="300"/>
    <s v="0%"/>
    <s v=""/>
    <s v="Saturday"/>
  </r>
  <r>
    <s v="TX1203"/>
    <x v="114"/>
    <x v="2"/>
    <x v="0"/>
    <x v="1"/>
    <x v="0"/>
    <n v="9"/>
    <s v="Tamamlandı"/>
    <n v="506866210"/>
    <s v="MI-1203"/>
    <s v="Murad-Bakı Filialina çardırılma"/>
    <n v="1200"/>
    <n v="1800"/>
    <x v="35"/>
    <n v="5400"/>
    <s v="0%"/>
    <d v="2026-05-31T00:00:00"/>
    <s v="Tuesday"/>
  </r>
  <r>
    <s v="TX1204"/>
    <x v="20"/>
    <x v="2"/>
    <x v="3"/>
    <x v="0"/>
    <x v="2"/>
    <n v="7"/>
    <s v="Tamamlandı"/>
    <n v="501836108"/>
    <s v="MI-1204"/>
    <s v="Murad-Sumqayıt Filialina çardırılma"/>
    <n v="600"/>
    <n v="950"/>
    <x v="17"/>
    <n v="2450"/>
    <n v="855"/>
    <s v=""/>
    <s v="Wednesday"/>
  </r>
  <r>
    <s v="TX1205"/>
    <x v="95"/>
    <x v="7"/>
    <x v="3"/>
    <x v="1"/>
    <x v="1"/>
    <n v="5"/>
    <s v="Tamamlandı"/>
    <n v="709415225"/>
    <s v="LƏ-1205"/>
    <s v="Leyla-Bakı Filialina çardırılma"/>
    <n v="600"/>
    <n v="950"/>
    <x v="26"/>
    <n v="1750"/>
    <s v="0%"/>
    <s v=""/>
    <s v="Saturday"/>
  </r>
  <r>
    <s v="TX1206"/>
    <x v="46"/>
    <x v="3"/>
    <x v="0"/>
    <x v="1"/>
    <x v="0"/>
    <n v="4"/>
    <s v="Tamamlandı"/>
    <n v="502144385"/>
    <s v="NM-1206"/>
    <s v="Nərgin-Baki Filialina çardırılma"/>
    <n v="1200"/>
    <n v="1800"/>
    <x v="27"/>
    <n v="2400"/>
    <s v="0%"/>
    <d v="2026-04-30T00:00:00"/>
    <s v="Wednesday"/>
  </r>
  <r>
    <s v="TX1207"/>
    <x v="18"/>
    <x v="4"/>
    <x v="2"/>
    <x v="2"/>
    <x v="0"/>
    <n v="10"/>
    <s v="Tamamlandı"/>
    <n v="509639004"/>
    <s v="EQ-1207"/>
    <s v="Elnur-Gence Filialina çardırılma"/>
    <n v="400"/>
    <n v="650"/>
    <x v="6"/>
    <n v="2500"/>
    <s v="0%"/>
    <d v="2026-05-31T00:00:00"/>
    <s v="Saturday"/>
  </r>
  <r>
    <s v="TX1208"/>
    <x v="59"/>
    <x v="4"/>
    <x v="3"/>
    <x v="1"/>
    <x v="2"/>
    <n v="7"/>
    <s v="Tamamlandı"/>
    <n v="706847314"/>
    <s v="EQ-1208"/>
    <s v="Elnur-Baki Filialina çardırılma"/>
    <n v="600"/>
    <n v="950"/>
    <x v="17"/>
    <n v="2450"/>
    <n v="855"/>
    <s v=""/>
    <s v="Saturday"/>
  </r>
  <r>
    <s v="TX1209"/>
    <x v="115"/>
    <x v="5"/>
    <x v="1"/>
    <x v="0"/>
    <x v="2"/>
    <n v="2"/>
    <s v="Tamamlandı"/>
    <n v="778502292"/>
    <s v="ƏM-1209"/>
    <s v="Əli-Sumqayit Filialina çardırılma"/>
    <n v="15"/>
    <n v="45"/>
    <x v="32"/>
    <n v="60"/>
    <s v="0%"/>
    <s v=""/>
    <s v="Friday"/>
  </r>
  <r>
    <s v="TX1210"/>
    <x v="12"/>
    <x v="2"/>
    <x v="3"/>
    <x v="4"/>
    <x v="0"/>
    <n v="3"/>
    <s v="Tamamlandı"/>
    <n v="709953884"/>
    <s v="MI-1210"/>
    <s v="Murad-Naməlum Filialina çardırılma"/>
    <n v="600"/>
    <n v="950"/>
    <x v="18"/>
    <n v="1050"/>
    <s v="0%"/>
    <d v="2026-04-30T00:00:00"/>
    <s v="Monday"/>
  </r>
  <r>
    <s v="TX1211"/>
    <x v="98"/>
    <x v="7"/>
    <x v="1"/>
    <x v="0"/>
    <x v="2"/>
    <n v="2"/>
    <s v="Tamamlandı"/>
    <n v="517866591"/>
    <s v="LƏ-1211"/>
    <s v="Leyla-Sumqayit Filialina çardırılma"/>
    <n v="15"/>
    <n v="45"/>
    <x v="32"/>
    <n v="60"/>
    <s v="0%"/>
    <s v=""/>
    <s v="Friday"/>
  </r>
  <r>
    <s v="TX1212"/>
    <x v="116"/>
    <x v="6"/>
    <x v="1"/>
    <x v="1"/>
    <x v="0"/>
    <n v="3"/>
    <s v="Tamamlandı"/>
    <n v="779481590"/>
    <s v="AV-1212"/>
    <s v="Aysel-Baki Filialina çardırılma"/>
    <n v="15"/>
    <n v="45"/>
    <x v="5"/>
    <n v="90"/>
    <s v="0%"/>
    <d v="2026-03-31T00:00:00"/>
    <s v="Saturday"/>
  </r>
  <r>
    <s v="TX1213"/>
    <x v="83"/>
    <x v="5"/>
    <x v="3"/>
    <x v="1"/>
    <x v="1"/>
    <n v="1"/>
    <s v="Tamamlandı"/>
    <n v="512685209"/>
    <s v="ƏM-1213"/>
    <s v="Əli-Bakı Filialina çardırılma"/>
    <n v="600"/>
    <n v="950"/>
    <x v="16"/>
    <n v="350"/>
    <s v="0%"/>
    <s v=""/>
    <s v="Friday"/>
  </r>
  <r>
    <s v="TX1214"/>
    <x v="78"/>
    <x v="5"/>
    <x v="3"/>
    <x v="0"/>
    <x v="1"/>
    <n v="5"/>
    <s v="Tamamlandı"/>
    <n v="555196087"/>
    <s v="ƏM-1214"/>
    <s v="Əli-Sumqayit Filialina çardırılma"/>
    <n v="600"/>
    <n v="950"/>
    <x v="26"/>
    <n v="1750"/>
    <s v="0%"/>
    <s v=""/>
    <s v="Monday"/>
  </r>
  <r>
    <s v="TX1215"/>
    <x v="117"/>
    <x v="3"/>
    <x v="0"/>
    <x v="2"/>
    <x v="1"/>
    <n v="6"/>
    <s v="Tamamlandı"/>
    <n v="554353651"/>
    <s v="NM-1215"/>
    <s v="Nərgin-Gence Filialina çardırılma"/>
    <n v="1200"/>
    <n v="1800"/>
    <x v="3"/>
    <n v="3600"/>
    <s v="0%"/>
    <s v=""/>
    <s v="Wednesday"/>
  </r>
  <r>
    <s v="TX1216"/>
    <x v="118"/>
    <x v="2"/>
    <x v="1"/>
    <x v="0"/>
    <x v="0"/>
    <n v="7"/>
    <s v="Tamamlandı"/>
    <n v="707039887"/>
    <s v="MI-1216"/>
    <s v="Murad-Sumqayıt Filialina çardırılma"/>
    <n v="15"/>
    <n v="45"/>
    <x v="34"/>
    <n v="210"/>
    <s v="0%"/>
    <d v="2026-05-31T00:00:00"/>
    <s v="Saturday"/>
  </r>
  <r>
    <s v="TX1217"/>
    <x v="83"/>
    <x v="2"/>
    <x v="1"/>
    <x v="0"/>
    <x v="0"/>
    <n v="2"/>
    <s v="Tamamlandı"/>
    <n v="773292172"/>
    <s v="MI-1217"/>
    <s v="Murad-Sumqayit Filialina çardırılma"/>
    <n v="15"/>
    <n v="45"/>
    <x v="32"/>
    <n v="60"/>
    <s v="0%"/>
    <d v="2026-01-31T00:00:00"/>
    <s v="Friday"/>
  </r>
  <r>
    <s v="TX1218"/>
    <x v="34"/>
    <x v="1"/>
    <x v="3"/>
    <x v="0"/>
    <x v="1"/>
    <n v="1"/>
    <s v="Tamamlandı"/>
    <n v="504415348"/>
    <s v="ZM-1218"/>
    <s v="Zaur-Sumqayıt Filialina çardırılma"/>
    <n v="600"/>
    <n v="950"/>
    <x v="16"/>
    <n v="350"/>
    <s v="0%"/>
    <s v=""/>
    <s v="Wednesday"/>
  </r>
  <r>
    <s v="TX1219"/>
    <x v="62"/>
    <x v="0"/>
    <x v="3"/>
    <x v="0"/>
    <x v="0"/>
    <n v="7"/>
    <s v="Tamamlandı"/>
    <n v="770997705"/>
    <s v="RH-1219"/>
    <s v="Ramil-Sumqayıt Filialina çardırılma"/>
    <n v="600"/>
    <n v="950"/>
    <x v="17"/>
    <n v="2450"/>
    <s v="0%"/>
    <d v="2026-05-31T00:00:00"/>
    <s v="Sunday"/>
  </r>
  <r>
    <s v="TX1220"/>
    <x v="103"/>
    <x v="2"/>
    <x v="1"/>
    <x v="0"/>
    <x v="1"/>
    <n v="2"/>
    <s v="Tamamlandı"/>
    <n v="704972750"/>
    <s v="MI-1220"/>
    <s v="Murad-Sumqayıt Filialina çardırılma"/>
    <n v="15"/>
    <n v="45"/>
    <x v="32"/>
    <n v="60"/>
    <s v="0%"/>
    <s v=""/>
    <s v="Wednesday"/>
  </r>
  <r>
    <s v="TX1221"/>
    <x v="99"/>
    <x v="3"/>
    <x v="1"/>
    <x v="0"/>
    <x v="2"/>
    <n v="4"/>
    <s v="Tamamlandı"/>
    <n v="776971028"/>
    <s v="NM-1221"/>
    <s v="Nərgin-Sumqayit Filialina çardırılma"/>
    <n v="15"/>
    <n v="45"/>
    <x v="22"/>
    <n v="120"/>
    <s v="0%"/>
    <s v=""/>
    <s v="Tuesday"/>
  </r>
  <r>
    <s v="TX1222"/>
    <x v="119"/>
    <x v="6"/>
    <x v="0"/>
    <x v="0"/>
    <x v="0"/>
    <n v="8"/>
    <s v="Tamamlandı"/>
    <n v="709143674"/>
    <s v="AV-1222"/>
    <s v="Aysel-Sumqayıt Filialina çardırılma"/>
    <n v="1200"/>
    <n v="1800"/>
    <x v="0"/>
    <n v="4800"/>
    <s v="0%"/>
    <d v="2026-03-31T00:00:00"/>
    <s v="Tuesday"/>
  </r>
  <r>
    <s v="TX1223"/>
    <x v="120"/>
    <x v="0"/>
    <x v="3"/>
    <x v="1"/>
    <x v="1"/>
    <n v="2"/>
    <s v="Tamamlandı"/>
    <n v="512031434"/>
    <s v="RH-1223"/>
    <s v="Ramil-Baki Filialina çardırılma"/>
    <n v="600"/>
    <n v="950"/>
    <x v="21"/>
    <n v="700"/>
    <s v="0%"/>
    <s v=""/>
    <s v="Thursday"/>
  </r>
  <r>
    <s v="TX1224"/>
    <x v="34"/>
    <x v="2"/>
    <x v="3"/>
    <x v="1"/>
    <x v="0"/>
    <n v="3"/>
    <s v="Tamamlandı"/>
    <n v="507905835"/>
    <s v="MI-1224"/>
    <s v="Murad-Baki Filialina çardırılma"/>
    <n v="600"/>
    <n v="950"/>
    <x v="18"/>
    <n v="1050"/>
    <s v="0%"/>
    <d v="2026-04-30T00:00:00"/>
    <s v="Wednesday"/>
  </r>
  <r>
    <s v="TX1225"/>
    <x v="121"/>
    <x v="0"/>
    <x v="3"/>
    <x v="0"/>
    <x v="0"/>
    <n v="10"/>
    <s v="Tamamlandı"/>
    <n v="770256747"/>
    <s v="RH-1225"/>
    <s v="Ramil-Sumqayit Filialina çardırılma"/>
    <n v="600"/>
    <n v="950"/>
    <x v="8"/>
    <n v="3500"/>
    <s v="0%"/>
    <d v="2026-05-31T00:00:00"/>
    <s v="Saturday"/>
  </r>
  <r>
    <s v="TX1226"/>
    <x v="13"/>
    <x v="6"/>
    <x v="1"/>
    <x v="1"/>
    <x v="1"/>
    <n v="5"/>
    <s v="Tamamlandı"/>
    <n v="558814349"/>
    <s v="AV-1226"/>
    <s v="Aysel-Baki Filialina çardırılma"/>
    <n v="15"/>
    <n v="45"/>
    <x v="1"/>
    <n v="150"/>
    <s v="0%"/>
    <s v=""/>
    <s v="Monday"/>
  </r>
  <r>
    <s v="TX1227"/>
    <x v="32"/>
    <x v="3"/>
    <x v="3"/>
    <x v="0"/>
    <x v="1"/>
    <n v="2"/>
    <s v="Tamamlandı"/>
    <n v="500919758"/>
    <s v="NM-1227"/>
    <s v="Nərgin-Sumqayit Filialina çardırılma"/>
    <n v="600"/>
    <n v="950"/>
    <x v="21"/>
    <n v="700"/>
    <s v="0%"/>
    <s v=""/>
    <s v="Sunday"/>
  </r>
  <r>
    <s v="TX1228"/>
    <x v="110"/>
    <x v="5"/>
    <x v="3"/>
    <x v="1"/>
    <x v="1"/>
    <n v="8"/>
    <s v="Tamamlandı"/>
    <n v="507615965"/>
    <s v="ƏM-1228"/>
    <s v="Əli-Baki Filialina çardırılma"/>
    <n v="600"/>
    <n v="950"/>
    <x v="7"/>
    <n v="2800"/>
    <s v="0%"/>
    <s v=""/>
    <s v="Saturday"/>
  </r>
  <r>
    <s v="TX1229"/>
    <x v="23"/>
    <x v="0"/>
    <x v="0"/>
    <x v="1"/>
    <x v="2"/>
    <n v="10"/>
    <s v="Tamamlandı"/>
    <n v="775846411"/>
    <s v="RH-1229"/>
    <s v="Ramil-Baki Filialina çardırılma"/>
    <n v="1200"/>
    <n v="1800"/>
    <x v="25"/>
    <n v="6000"/>
    <n v="1620"/>
    <s v=""/>
    <s v="Friday"/>
  </r>
  <r>
    <s v="TX1230"/>
    <x v="39"/>
    <x v="1"/>
    <x v="1"/>
    <x v="1"/>
    <x v="2"/>
    <n v="8"/>
    <s v="Tamamlandı"/>
    <n v="776508422"/>
    <s v="ZM-1230"/>
    <s v="Zaur-Bakı Filialina çardırılma"/>
    <n v="15"/>
    <n v="45"/>
    <x v="14"/>
    <n v="240"/>
    <n v="40.5"/>
    <s v=""/>
    <s v="Monday"/>
  </r>
  <r>
    <s v="TX1231"/>
    <x v="86"/>
    <x v="2"/>
    <x v="1"/>
    <x v="3"/>
    <x v="2"/>
    <n v="1"/>
    <s v="Tamamlandı"/>
    <n v="773692046"/>
    <s v="MI-1231"/>
    <s v="Murad-Gəncə Filialina çardırılma"/>
    <n v="15"/>
    <n v="45"/>
    <x v="2"/>
    <n v="30"/>
    <s v="0%"/>
    <s v=""/>
    <s v="Sunday"/>
  </r>
  <r>
    <s v="TX1232"/>
    <x v="7"/>
    <x v="2"/>
    <x v="1"/>
    <x v="1"/>
    <x v="2"/>
    <n v="5"/>
    <s v="Tamamlandı"/>
    <n v="511032153"/>
    <s v="MI-1232"/>
    <s v="Murad-Baki Filialina çardırılma"/>
    <n v="15"/>
    <n v="45"/>
    <x v="1"/>
    <n v="150"/>
    <s v="0%"/>
    <s v=""/>
    <s v="Wednesday"/>
  </r>
  <r>
    <s v="TX1233"/>
    <x v="68"/>
    <x v="6"/>
    <x v="0"/>
    <x v="2"/>
    <x v="1"/>
    <n v="8"/>
    <s v="Tamamlandı"/>
    <n v="557297373"/>
    <s v="AV-1233"/>
    <s v="Aysel-Gence Filialina çardırılma"/>
    <n v="1200"/>
    <n v="1800"/>
    <x v="0"/>
    <n v="4800"/>
    <s v="0%"/>
    <s v=""/>
    <s v="Thursday"/>
  </r>
  <r>
    <s v="TX1234"/>
    <x v="99"/>
    <x v="2"/>
    <x v="3"/>
    <x v="1"/>
    <x v="0"/>
    <n v="6"/>
    <s v="Tamamlandı"/>
    <n v="507502099"/>
    <s v="MI-1234"/>
    <s v="Murad-Baki Filialina çardırılma"/>
    <n v="600"/>
    <n v="950"/>
    <x v="15"/>
    <n v="2100"/>
    <s v="0%"/>
    <d v="2026-02-28T00:00:00"/>
    <s v="Tuesday"/>
  </r>
  <r>
    <s v="TX1235"/>
    <x v="26"/>
    <x v="7"/>
    <x v="3"/>
    <x v="3"/>
    <x v="0"/>
    <n v="7"/>
    <s v="Tamamlandı"/>
    <n v="502053927"/>
    <s v="LƏ-1235"/>
    <s v="Leyla-Gəncə Filialina çardırılma"/>
    <n v="600"/>
    <n v="950"/>
    <x v="17"/>
    <n v="2450"/>
    <s v="0%"/>
    <d v="2026-02-28T00:00:00"/>
    <s v="Sunday"/>
  </r>
  <r>
    <s v="TX1236"/>
    <x v="117"/>
    <x v="1"/>
    <x v="2"/>
    <x v="1"/>
    <x v="1"/>
    <n v="5"/>
    <s v="Tamamlandı"/>
    <n v="509059427"/>
    <s v="ZM-1236"/>
    <s v="Zaur-Baki Filialina çardırılma"/>
    <n v="400"/>
    <n v="650"/>
    <x v="12"/>
    <n v="1250"/>
    <s v="0%"/>
    <s v=""/>
    <s v="Wednesday"/>
  </r>
  <r>
    <s v="TX1237"/>
    <x v="66"/>
    <x v="6"/>
    <x v="1"/>
    <x v="1"/>
    <x v="0"/>
    <n v="6"/>
    <s v="Tamamlandı"/>
    <n v="552992748"/>
    <s v="AV-1237"/>
    <s v="Aysel-Bakı Filialina çardırılma"/>
    <n v="15"/>
    <n v="45"/>
    <x v="31"/>
    <n v="180"/>
    <s v="0%"/>
    <d v="2026-06-30T00:00:00"/>
    <s v="Friday"/>
  </r>
  <r>
    <s v="TX1238"/>
    <x v="92"/>
    <x v="0"/>
    <x v="2"/>
    <x v="0"/>
    <x v="2"/>
    <n v="4"/>
    <s v="Tamamlandı"/>
    <n v="771886140"/>
    <s v="RH-1238"/>
    <s v="Ramil-Sumqayıt Filialina çardırılma"/>
    <n v="400"/>
    <n v="650"/>
    <x v="20"/>
    <n v="1000"/>
    <s v="0%"/>
    <s v=""/>
    <s v="Saturday"/>
  </r>
  <r>
    <s v="TX1239"/>
    <x v="39"/>
    <x v="7"/>
    <x v="1"/>
    <x v="0"/>
    <x v="0"/>
    <n v="10"/>
    <s v="Tamamlandı"/>
    <n v="559521480"/>
    <s v="LƏ-1239"/>
    <s v="Leyla-Sumqayıt Filialina çardırılma"/>
    <n v="15"/>
    <n v="45"/>
    <x v="24"/>
    <n v="300"/>
    <s v="0%"/>
    <d v="2026-02-28T00:00:00"/>
    <s v="Monday"/>
  </r>
  <r>
    <s v="TX1240"/>
    <x v="69"/>
    <x v="0"/>
    <x v="2"/>
    <x v="0"/>
    <x v="3"/>
    <n v="3"/>
    <s v="Tamamlandı"/>
    <n v="706911457"/>
    <s v="RH-1240"/>
    <s v="Ramil-Sumqayit Filialina çardırılma"/>
    <n v="400"/>
    <n v="650"/>
    <x v="38"/>
    <n v="750"/>
    <s v="0%"/>
    <s v=""/>
    <s v="Wednesday"/>
  </r>
  <r>
    <s v="TX1241"/>
    <x v="18"/>
    <x v="2"/>
    <x v="2"/>
    <x v="2"/>
    <x v="1"/>
    <n v="10"/>
    <s v="Tamamlandı"/>
    <n v="774879826"/>
    <s v="MI-1241"/>
    <s v="Murad-Gence Filialina çardırılma"/>
    <n v="400"/>
    <n v="650"/>
    <x v="6"/>
    <n v="2500"/>
    <s v="0%"/>
    <s v=""/>
    <s v="Saturday"/>
  </r>
  <r>
    <s v="TX1242"/>
    <x v="108"/>
    <x v="2"/>
    <x v="1"/>
    <x v="1"/>
    <x v="0"/>
    <n v="10"/>
    <s v="Tamamlandı"/>
    <n v="554375693"/>
    <s v="MI-1242"/>
    <s v="Murad-Bakı Filialina çardırılma"/>
    <n v="15"/>
    <n v="45"/>
    <x v="24"/>
    <n v="300"/>
    <s v="0%"/>
    <d v="2026-03-31T00:00:00"/>
    <s v="Monday"/>
  </r>
  <r>
    <s v="TX1243"/>
    <x v="122"/>
    <x v="4"/>
    <x v="0"/>
    <x v="1"/>
    <x v="2"/>
    <n v="4"/>
    <s v="Tamamlandı"/>
    <n v="706616853"/>
    <s v="EQ-1243"/>
    <s v="Elnur-Baki Filialina çardırılma"/>
    <n v="1200"/>
    <n v="1800"/>
    <x v="27"/>
    <n v="2400"/>
    <s v="0%"/>
    <s v=""/>
    <s v="Monday"/>
  </r>
  <r>
    <s v="TX1244"/>
    <x v="123"/>
    <x v="5"/>
    <x v="3"/>
    <x v="0"/>
    <x v="2"/>
    <n v="3"/>
    <s v="Tamamlandı"/>
    <n v="773935759"/>
    <s v="ƏM-1244"/>
    <s v="Əli-Sumqayit Filialina çardırılma"/>
    <n v="600"/>
    <n v="950"/>
    <x v="18"/>
    <n v="1050"/>
    <s v="0%"/>
    <s v=""/>
    <s v="Sunday"/>
  </r>
  <r>
    <s v="TX1245"/>
    <x v="30"/>
    <x v="6"/>
    <x v="2"/>
    <x v="4"/>
    <x v="0"/>
    <n v="3"/>
    <s v="Tamamlandı"/>
    <n v="555334204"/>
    <s v="AV-1245"/>
    <s v="Aysel-Naməlum Filialina çardırılma"/>
    <n v="400"/>
    <n v="650"/>
    <x v="38"/>
    <n v="750"/>
    <s v="0%"/>
    <d v="2026-02-28T00:00:00"/>
    <s v="Tuesday"/>
  </r>
  <r>
    <s v="TX1246"/>
    <x v="110"/>
    <x v="6"/>
    <x v="0"/>
    <x v="1"/>
    <x v="2"/>
    <n v="7"/>
    <s v="Tamamlandı"/>
    <n v="501913569"/>
    <s v="AV-1246"/>
    <s v="Aysel-Bakı Filialina çardırılma"/>
    <n v="1200"/>
    <n v="1800"/>
    <x v="9"/>
    <n v="4200"/>
    <n v="1620"/>
    <s v=""/>
    <s v="Saturday"/>
  </r>
  <r>
    <s v="TX1247"/>
    <x v="96"/>
    <x v="6"/>
    <x v="1"/>
    <x v="3"/>
    <x v="0"/>
    <n v="7"/>
    <s v="Tamamlandı"/>
    <n v="505194824"/>
    <s v="AV-1247"/>
    <s v="Aysel-Gəncə Filialina çardırılma"/>
    <n v="15"/>
    <n v="45"/>
    <x v="34"/>
    <n v="210"/>
    <s v="0%"/>
    <d v="2026-03-31T00:00:00"/>
    <s v="Thursday"/>
  </r>
  <r>
    <s v="TX1248"/>
    <x v="92"/>
    <x v="5"/>
    <x v="3"/>
    <x v="2"/>
    <x v="0"/>
    <n v="2"/>
    <s v="Tamamlandı"/>
    <n v="703583278"/>
    <s v="ƏM-1248"/>
    <s v="Əli-Gence Filialina çardırılma"/>
    <n v="600"/>
    <n v="950"/>
    <x v="21"/>
    <n v="700"/>
    <s v="0%"/>
    <d v="2026-03-31T00:00:00"/>
    <s v="Saturday"/>
  </r>
  <r>
    <s v="TX1249"/>
    <x v="60"/>
    <x v="4"/>
    <x v="0"/>
    <x v="3"/>
    <x v="1"/>
    <n v="3"/>
    <s v="Tamamlandı"/>
    <n v="504388206"/>
    <s v="EQ-1249"/>
    <s v="Elnur-Gəncə Filialina çardırılma"/>
    <n v="1200"/>
    <n v="1800"/>
    <x v="4"/>
    <n v="1800"/>
    <s v="0%"/>
    <s v=""/>
    <s v="Saturday"/>
  </r>
  <r>
    <s v="TX1250"/>
    <x v="90"/>
    <x v="3"/>
    <x v="1"/>
    <x v="2"/>
    <x v="2"/>
    <n v="3"/>
    <s v="Tamamlandı"/>
    <n v="772223798"/>
    <s v="NM-1250"/>
    <s v="Nərgin-Gence Filialina çardırılma"/>
    <n v="15"/>
    <n v="45"/>
    <x v="5"/>
    <n v="90"/>
    <s v="0%"/>
    <s v=""/>
    <s v="Sunday"/>
  </r>
  <r>
    <s v="TX1251"/>
    <x v="88"/>
    <x v="5"/>
    <x v="0"/>
    <x v="2"/>
    <x v="1"/>
    <n v="9"/>
    <s v="Tamamlandı"/>
    <n v="512203319"/>
    <s v="ƏM-1251"/>
    <s v="Əli-Gence Filialina çardırılma"/>
    <n v="1200"/>
    <n v="1800"/>
    <x v="35"/>
    <n v="5400"/>
    <s v="0%"/>
    <s v=""/>
    <s v="Monday"/>
  </r>
  <r>
    <s v="TX1252"/>
    <x v="61"/>
    <x v="1"/>
    <x v="3"/>
    <x v="1"/>
    <x v="0"/>
    <n v="10"/>
    <s v="Tamamlandı"/>
    <n v="776368805"/>
    <s v="ZM-1252"/>
    <s v="Zaur-Baki Filialina çardırılma"/>
    <n v="600"/>
    <n v="950"/>
    <x v="8"/>
    <n v="3500"/>
    <s v="0%"/>
    <d v="2026-04-30T00:00:00"/>
    <s v="Saturday"/>
  </r>
  <r>
    <s v="TX1253"/>
    <x v="3"/>
    <x v="2"/>
    <x v="1"/>
    <x v="1"/>
    <x v="2"/>
    <n v="5"/>
    <s v="Tamamlandı"/>
    <n v="512100594"/>
    <s v="MI-1253"/>
    <s v="Murad-Baki Filialina çardırılma"/>
    <n v="15"/>
    <n v="45"/>
    <x v="1"/>
    <n v="150"/>
    <s v="0%"/>
    <s v=""/>
    <s v="Friday"/>
  </r>
  <r>
    <s v="TX1254"/>
    <x v="3"/>
    <x v="0"/>
    <x v="3"/>
    <x v="3"/>
    <x v="2"/>
    <n v="10"/>
    <s v="Tamamlandı"/>
    <n v="705988932"/>
    <s v="RH-1254"/>
    <s v="Ramil-Gəncə Filialina çardırılma"/>
    <n v="600"/>
    <n v="950"/>
    <x v="8"/>
    <n v="3500"/>
    <n v="855"/>
    <s v=""/>
    <s v="Friday"/>
  </r>
  <r>
    <s v="TX1255"/>
    <x v="60"/>
    <x v="4"/>
    <x v="1"/>
    <x v="2"/>
    <x v="2"/>
    <n v="4"/>
    <s v="Tamamlandı"/>
    <n v="779368615"/>
    <s v="EQ-1255"/>
    <s v="Elnur-Gence Filialina çardırılma"/>
    <n v="15"/>
    <n v="45"/>
    <x v="22"/>
    <n v="120"/>
    <s v="0%"/>
    <s v=""/>
    <s v="Saturday"/>
  </r>
  <r>
    <s v="TX1256"/>
    <x v="119"/>
    <x v="7"/>
    <x v="3"/>
    <x v="0"/>
    <x v="0"/>
    <n v="9"/>
    <s v="Tamamlandı"/>
    <n v="555175875"/>
    <s v="LƏ-1256"/>
    <s v="Leyla-Sumqayıt Filialina çardırılma"/>
    <n v="600"/>
    <n v="950"/>
    <x v="10"/>
    <n v="3150"/>
    <s v="0%"/>
    <d v="2026-03-31T00:00:00"/>
    <s v="Tuesday"/>
  </r>
  <r>
    <s v="TX1257"/>
    <x v="74"/>
    <x v="1"/>
    <x v="2"/>
    <x v="0"/>
    <x v="2"/>
    <n v="8"/>
    <s v="Tamamlandı"/>
    <n v="703803645"/>
    <s v="ZM-1257"/>
    <s v="Zaur-Sumqayıt Filialina çardırılma"/>
    <n v="400"/>
    <n v="650"/>
    <x v="23"/>
    <n v="2000"/>
    <n v="585"/>
    <s v=""/>
    <s v="Sunday"/>
  </r>
  <r>
    <s v="TX1258"/>
    <x v="12"/>
    <x v="1"/>
    <x v="2"/>
    <x v="0"/>
    <x v="1"/>
    <n v="5"/>
    <s v="Tamamlandı"/>
    <n v="516585064"/>
    <s v="ZM-1258"/>
    <s v="Zaur-Sumqayit Filialina çardırılma"/>
    <n v="400"/>
    <n v="650"/>
    <x v="12"/>
    <n v="1250"/>
    <s v="0%"/>
    <s v=""/>
    <s v="Monday"/>
  </r>
  <r>
    <s v="TX1259"/>
    <x v="46"/>
    <x v="2"/>
    <x v="3"/>
    <x v="0"/>
    <x v="2"/>
    <n v="9"/>
    <s v="Tamamlandı"/>
    <n v="513955379"/>
    <s v="MI-1259"/>
    <s v="Murad-Sumqayıt Filialina çardırılma"/>
    <n v="600"/>
    <n v="950"/>
    <x v="10"/>
    <n v="3150"/>
    <n v="855"/>
    <s v=""/>
    <s v="Wednesday"/>
  </r>
  <r>
    <s v="TX1260"/>
    <x v="107"/>
    <x v="7"/>
    <x v="3"/>
    <x v="0"/>
    <x v="1"/>
    <n v="1"/>
    <s v="Tamamlandı"/>
    <n v="708643645"/>
    <s v="LƏ-1260"/>
    <s v="Leyla-Sumqayıt Filialina çardırılma"/>
    <n v="600"/>
    <n v="950"/>
    <x v="16"/>
    <n v="350"/>
    <s v="0%"/>
    <s v=""/>
    <s v="Tuesday"/>
  </r>
  <r>
    <s v="TX1261"/>
    <x v="124"/>
    <x v="0"/>
    <x v="0"/>
    <x v="3"/>
    <x v="0"/>
    <n v="8"/>
    <s v="Tamamlandı"/>
    <n v="705860466"/>
    <s v="RH-1261"/>
    <s v="Ramil-Gəncə Filialina çardırılma"/>
    <n v="1200"/>
    <n v="1800"/>
    <x v="0"/>
    <n v="4800"/>
    <s v="0%"/>
    <d v="2026-01-31T00:00:00"/>
    <s v="Saturday"/>
  </r>
  <r>
    <s v="TX1262"/>
    <x v="70"/>
    <x v="4"/>
    <x v="0"/>
    <x v="1"/>
    <x v="2"/>
    <n v="10"/>
    <s v="Tamamlandı"/>
    <n v="776285646"/>
    <s v="EQ-1262"/>
    <s v="Elnur-Bakı Filialina çardırılma"/>
    <n v="1200"/>
    <n v="1800"/>
    <x v="25"/>
    <n v="6000"/>
    <n v="1620"/>
    <s v=""/>
    <s v="Thursday"/>
  </r>
  <r>
    <s v="TX1263"/>
    <x v="124"/>
    <x v="1"/>
    <x v="3"/>
    <x v="3"/>
    <x v="1"/>
    <n v="5"/>
    <s v="Tamamlandı"/>
    <n v="500036566"/>
    <s v="ZM-1263"/>
    <s v="Zaur-Gəncə Filialina çardırılma"/>
    <n v="600"/>
    <n v="950"/>
    <x v="26"/>
    <n v="1750"/>
    <s v="0%"/>
    <s v=""/>
    <s v="Saturday"/>
  </r>
  <r>
    <s v="TX1264"/>
    <x v="125"/>
    <x v="5"/>
    <x v="1"/>
    <x v="1"/>
    <x v="2"/>
    <n v="3"/>
    <s v="Tamamlandı"/>
    <n v="516073035"/>
    <s v="ƏM-1264"/>
    <s v="Əli-Baki Filialina çardırılma"/>
    <n v="15"/>
    <n v="45"/>
    <x v="5"/>
    <n v="90"/>
    <s v="0%"/>
    <s v=""/>
    <s v="Saturday"/>
  </r>
  <r>
    <s v="TX1265"/>
    <x v="47"/>
    <x v="0"/>
    <x v="1"/>
    <x v="3"/>
    <x v="2"/>
    <n v="5"/>
    <s v="Tamamlandı"/>
    <n v="550187688"/>
    <s v="RH-1265"/>
    <s v="Ramil-Gəncə Filialina çardırılma"/>
    <n v="15"/>
    <n v="45"/>
    <x v="1"/>
    <n v="150"/>
    <s v="0%"/>
    <s v=""/>
    <s v="Sunday"/>
  </r>
  <r>
    <s v="TX1266"/>
    <x v="110"/>
    <x v="6"/>
    <x v="1"/>
    <x v="2"/>
    <x v="1"/>
    <n v="9"/>
    <s v="Tamamlandı"/>
    <n v="776514583"/>
    <s v="AV-1266"/>
    <s v="Aysel-Gence Filialina çardırılma"/>
    <n v="15"/>
    <n v="45"/>
    <x v="30"/>
    <n v="270"/>
    <s v="0%"/>
    <s v=""/>
    <s v="Saturday"/>
  </r>
  <r>
    <s v="TX1267"/>
    <x v="41"/>
    <x v="5"/>
    <x v="0"/>
    <x v="0"/>
    <x v="0"/>
    <n v="5"/>
    <s v="Tamamlandı"/>
    <n v="708625332"/>
    <s v="ƏM-1267"/>
    <s v="Əli-Sumqayıt Filialina çardırılma"/>
    <n v="1200"/>
    <n v="1800"/>
    <x v="19"/>
    <n v="3000"/>
    <s v="0%"/>
    <d v="2026-01-31T00:00:00"/>
    <s v="Monday"/>
  </r>
  <r>
    <s v="TX1268"/>
    <x v="117"/>
    <x v="4"/>
    <x v="3"/>
    <x v="0"/>
    <x v="2"/>
    <n v="10"/>
    <s v="Tamamlandı"/>
    <n v="559319679"/>
    <s v="EQ-1268"/>
    <s v="Elnur-Sumqayıt Filialina çardırılma"/>
    <n v="600"/>
    <n v="950"/>
    <x v="8"/>
    <n v="3500"/>
    <n v="855"/>
    <s v=""/>
    <s v="Wednesday"/>
  </r>
  <r>
    <s v="TX1269"/>
    <x v="126"/>
    <x v="2"/>
    <x v="2"/>
    <x v="2"/>
    <x v="1"/>
    <n v="9"/>
    <s v="Tamamlandı"/>
    <n v="510118271"/>
    <s v="MI-1269"/>
    <s v="Murad-Gence Filialina çardırılma"/>
    <n v="400"/>
    <n v="650"/>
    <x v="33"/>
    <n v="2250"/>
    <s v="0%"/>
    <s v=""/>
    <s v="Friday"/>
  </r>
  <r>
    <s v="TX1270"/>
    <x v="8"/>
    <x v="3"/>
    <x v="0"/>
    <x v="3"/>
    <x v="1"/>
    <n v="5"/>
    <s v="Tamamlandı"/>
    <n v="509426380"/>
    <s v="NM-1270"/>
    <s v="Nərgin-Gəncə Filialina çardırılma"/>
    <n v="1200"/>
    <n v="1800"/>
    <x v="19"/>
    <n v="3000"/>
    <s v="0%"/>
    <s v=""/>
    <s v="Wednesday"/>
  </r>
  <r>
    <s v="TX1271"/>
    <x v="0"/>
    <x v="5"/>
    <x v="1"/>
    <x v="1"/>
    <x v="2"/>
    <n v="6"/>
    <s v="Tamamlandı"/>
    <n v="502421491"/>
    <s v="ƏM-1271"/>
    <s v="Əli-Bakı Filialina çardırılma"/>
    <n v="15"/>
    <n v="45"/>
    <x v="31"/>
    <n v="180"/>
    <n v="40.5"/>
    <s v=""/>
    <s v="Wednesday"/>
  </r>
  <r>
    <s v="TX1272"/>
    <x v="37"/>
    <x v="0"/>
    <x v="1"/>
    <x v="3"/>
    <x v="0"/>
    <n v="5"/>
    <s v="Tamamlandı"/>
    <n v="506078763"/>
    <s v="RH-1272"/>
    <s v="Ramil-Gəncə Filialina çardırılma"/>
    <n v="15"/>
    <n v="45"/>
    <x v="1"/>
    <n v="150"/>
    <s v="0%"/>
    <d v="2026-05-31T00:00:00"/>
    <s v="Tuesday"/>
  </r>
  <r>
    <s v="TX1273"/>
    <x v="13"/>
    <x v="0"/>
    <x v="0"/>
    <x v="3"/>
    <x v="1"/>
    <n v="10"/>
    <s v="Tamamlandı"/>
    <n v="554853012"/>
    <s v="RH-1273"/>
    <s v="Ramil-Gəncə Filialina çardırılma"/>
    <n v="1200"/>
    <n v="1800"/>
    <x v="25"/>
    <n v="6000"/>
    <s v="0%"/>
    <s v=""/>
    <s v="Monday"/>
  </r>
  <r>
    <s v="TX1274"/>
    <x v="91"/>
    <x v="1"/>
    <x v="3"/>
    <x v="1"/>
    <x v="2"/>
    <n v="10"/>
    <s v="Tamamlandı"/>
    <n v="701197672"/>
    <s v="ZM-1274"/>
    <s v="Zaur-Baki Filialina çardırılma"/>
    <n v="600"/>
    <n v="950"/>
    <x v="8"/>
    <n v="3500"/>
    <n v="855"/>
    <s v=""/>
    <s v="Friday"/>
  </r>
  <r>
    <s v="TX1275"/>
    <x v="62"/>
    <x v="7"/>
    <x v="1"/>
    <x v="3"/>
    <x v="2"/>
    <n v="9"/>
    <s v="Tamamlandı"/>
    <n v="513906758"/>
    <s v="LƏ-1275"/>
    <s v="Leyla-Gəncə Filialina çardırılma"/>
    <n v="15"/>
    <n v="45"/>
    <x v="30"/>
    <n v="270"/>
    <n v="40.5"/>
    <s v=""/>
    <s v="Sunday"/>
  </r>
  <r>
    <s v="TX1276"/>
    <x v="22"/>
    <x v="5"/>
    <x v="0"/>
    <x v="3"/>
    <x v="2"/>
    <n v="6"/>
    <s v="Tamamlandı"/>
    <n v="514238319"/>
    <s v="ƏM-1276"/>
    <s v="Əli-Gəncə Filialina çardırılma"/>
    <n v="1200"/>
    <n v="1800"/>
    <x v="3"/>
    <n v="3600"/>
    <n v="1620"/>
    <s v=""/>
    <s v="Tuesday"/>
  </r>
  <r>
    <s v="TX1277"/>
    <x v="80"/>
    <x v="3"/>
    <x v="0"/>
    <x v="1"/>
    <x v="2"/>
    <n v="9"/>
    <s v="Tamamlandı"/>
    <n v="552960113"/>
    <s v="NM-1277"/>
    <s v="Nərgin-Baki Filialina çardırılma"/>
    <n v="1200"/>
    <n v="1800"/>
    <x v="35"/>
    <n v="5400"/>
    <n v="1620"/>
    <s v=""/>
    <s v="Friday"/>
  </r>
  <r>
    <s v="TX1278"/>
    <x v="120"/>
    <x v="5"/>
    <x v="3"/>
    <x v="1"/>
    <x v="0"/>
    <n v="5"/>
    <s v="Tamamlandı"/>
    <n v="551340895"/>
    <s v="ƏM-1278"/>
    <s v="Əli-Baki Filialina çardırılma"/>
    <n v="600"/>
    <n v="950"/>
    <x v="26"/>
    <n v="1750"/>
    <s v="0%"/>
    <d v="2026-05-31T00:00:00"/>
    <s v="Thursday"/>
  </r>
  <r>
    <s v="TX1279"/>
    <x v="101"/>
    <x v="5"/>
    <x v="1"/>
    <x v="2"/>
    <x v="0"/>
    <n v="6"/>
    <s v="Tamamlandı"/>
    <n v="518189535"/>
    <s v="ƏM-1279"/>
    <s v="Əli-Gence Filialina çardırılma"/>
    <n v="15"/>
    <n v="45"/>
    <x v="31"/>
    <n v="180"/>
    <s v="0%"/>
    <d v="2026-05-31T00:00:00"/>
    <s v="Sunday"/>
  </r>
  <r>
    <s v="TX1280"/>
    <x v="113"/>
    <x v="4"/>
    <x v="1"/>
    <x v="4"/>
    <x v="2"/>
    <n v="10"/>
    <s v="Tamamlandı"/>
    <n v="503813109"/>
    <s v="EQ-1280"/>
    <s v="Elnur-Naməlum Filialina çardırılma"/>
    <n v="15"/>
    <n v="45"/>
    <x v="24"/>
    <n v="300"/>
    <n v="40.5"/>
    <s v=""/>
    <s v="Saturday"/>
  </r>
  <r>
    <s v="TX1281"/>
    <x v="127"/>
    <x v="6"/>
    <x v="0"/>
    <x v="0"/>
    <x v="2"/>
    <n v="10"/>
    <s v="Tamamlandı"/>
    <n v="709119626"/>
    <s v="AV-1281"/>
    <s v="Aysel-Sumqayıt Filialina çardırılma"/>
    <n v="1200"/>
    <n v="1800"/>
    <x v="25"/>
    <n v="6000"/>
    <n v="1620"/>
    <s v=""/>
    <s v="Wednesday"/>
  </r>
  <r>
    <s v="TX1282"/>
    <x v="35"/>
    <x v="2"/>
    <x v="2"/>
    <x v="0"/>
    <x v="2"/>
    <n v="4"/>
    <s v="Tamamlandı"/>
    <n v="516122786"/>
    <s v="MI-1282"/>
    <s v="Murad-Sumqayıt Filialina çardırılma"/>
    <n v="400"/>
    <n v="650"/>
    <x v="20"/>
    <n v="1000"/>
    <s v="0%"/>
    <s v=""/>
    <s v="Friday"/>
  </r>
  <r>
    <s v="TX1283"/>
    <x v="126"/>
    <x v="4"/>
    <x v="0"/>
    <x v="2"/>
    <x v="0"/>
    <n v="5"/>
    <s v="Tamamlandı"/>
    <n v="550387469"/>
    <s v="EQ-1283"/>
    <s v="Elnur-Gence Filialina çardırılma"/>
    <n v="1200"/>
    <n v="1800"/>
    <x v="19"/>
    <n v="3000"/>
    <s v="0%"/>
    <d v="2026-04-30T00:00:00"/>
    <s v="Friday"/>
  </r>
  <r>
    <s v="TX1284"/>
    <x v="81"/>
    <x v="5"/>
    <x v="1"/>
    <x v="0"/>
    <x v="0"/>
    <n v="9"/>
    <s v="Tamamlandı"/>
    <n v="559384622"/>
    <s v="ƏM-1284"/>
    <s v="Əli-Sumqayit Filialina çardırılma"/>
    <n v="15"/>
    <n v="45"/>
    <x v="30"/>
    <n v="270"/>
    <s v="0%"/>
    <d v="2026-03-31T00:00:00"/>
    <s v="Sunday"/>
  </r>
  <r>
    <s v="TX1285"/>
    <x v="32"/>
    <x v="4"/>
    <x v="0"/>
    <x v="1"/>
    <x v="1"/>
    <n v="2"/>
    <s v="Tamamlandı"/>
    <n v="511352898"/>
    <s v="EQ-1285"/>
    <s v="Elnur-Baki Filialina çardırılma"/>
    <n v="1200"/>
    <n v="1800"/>
    <x v="13"/>
    <n v="1200"/>
    <s v="0%"/>
    <s v=""/>
    <s v="Sunday"/>
  </r>
  <r>
    <s v="TX1286"/>
    <x v="3"/>
    <x v="1"/>
    <x v="3"/>
    <x v="0"/>
    <x v="0"/>
    <n v="6"/>
    <s v="Tamamlandı"/>
    <n v="550126414"/>
    <s v="ZM-1286"/>
    <s v="Zaur-Sumqayıt Filialina çardırılma"/>
    <n v="600"/>
    <n v="950"/>
    <x v="15"/>
    <n v="2100"/>
    <s v="0%"/>
    <d v="2026-05-31T00:00:00"/>
    <s v="Friday"/>
  </r>
  <r>
    <s v="TX1287"/>
    <x v="110"/>
    <x v="1"/>
    <x v="0"/>
    <x v="3"/>
    <x v="2"/>
    <n v="7"/>
    <s v="Tamamlandı"/>
    <n v="508988359"/>
    <s v="ZM-1287"/>
    <s v="Zaur-Gəncə Filialina çardırılma"/>
    <n v="1200"/>
    <n v="1800"/>
    <x v="9"/>
    <n v="4200"/>
    <n v="1620"/>
    <s v=""/>
    <s v="Saturday"/>
  </r>
  <r>
    <s v="TX1288"/>
    <x v="106"/>
    <x v="5"/>
    <x v="0"/>
    <x v="0"/>
    <x v="2"/>
    <n v="4"/>
    <s v="Tamamlandı"/>
    <n v="771722716"/>
    <s v="ƏM-1288"/>
    <s v="Əli-Sumqayit Filialina çardırılma"/>
    <n v="1200"/>
    <n v="1800"/>
    <x v="27"/>
    <n v="2400"/>
    <s v="0%"/>
    <s v=""/>
    <s v="Thursday"/>
  </r>
  <r>
    <s v="TX1289"/>
    <x v="110"/>
    <x v="2"/>
    <x v="3"/>
    <x v="0"/>
    <x v="2"/>
    <n v="3"/>
    <s v="Tamamlandı"/>
    <n v="700452933"/>
    <s v="MI-1289"/>
    <s v="Murad-Sumqayıt Filialina çardırılma"/>
    <n v="600"/>
    <n v="950"/>
    <x v="18"/>
    <n v="1050"/>
    <s v="0%"/>
    <s v=""/>
    <s v="Saturday"/>
  </r>
  <r>
    <s v="TX1290"/>
    <x v="19"/>
    <x v="5"/>
    <x v="0"/>
    <x v="1"/>
    <x v="1"/>
    <n v="2"/>
    <s v="Tamamlandı"/>
    <n v="776949677"/>
    <s v="ƏM-1290"/>
    <s v="Əli-Bakı Filialina çardırılma"/>
    <n v="1200"/>
    <n v="1800"/>
    <x v="13"/>
    <n v="1200"/>
    <s v="0%"/>
    <s v=""/>
    <s v="Sunday"/>
  </r>
  <r>
    <s v="TX1291"/>
    <x v="105"/>
    <x v="1"/>
    <x v="1"/>
    <x v="1"/>
    <x v="2"/>
    <n v="3"/>
    <s v="Tamamlandı"/>
    <n v="774727451"/>
    <s v="ZM-1291"/>
    <s v="Zaur-Baki Filialina çardırılma"/>
    <n v="15"/>
    <n v="45"/>
    <x v="5"/>
    <n v="90"/>
    <s v="0%"/>
    <s v=""/>
    <s v="Monday"/>
  </r>
  <r>
    <s v="TX1292"/>
    <x v="128"/>
    <x v="7"/>
    <x v="1"/>
    <x v="1"/>
    <x v="2"/>
    <n v="2"/>
    <s v="Tamamlandı"/>
    <n v="504993555"/>
    <s v="LƏ-1292"/>
    <s v="Leyla-Bakı Filialina çardırılma"/>
    <n v="15"/>
    <n v="45"/>
    <x v="32"/>
    <n v="60"/>
    <s v="0%"/>
    <s v=""/>
    <s v="Wednesday"/>
  </r>
  <r>
    <s v="TX1293"/>
    <x v="32"/>
    <x v="1"/>
    <x v="0"/>
    <x v="1"/>
    <x v="0"/>
    <n v="4"/>
    <s v="Tamamlandı"/>
    <n v="709045264"/>
    <s v="ZM-1293"/>
    <s v="Zaur-Baki Filialina çardırılma"/>
    <n v="1200"/>
    <n v="1800"/>
    <x v="27"/>
    <n v="2400"/>
    <s v="0%"/>
    <d v="2026-03-31T00:00:00"/>
    <s v="Sunday"/>
  </r>
  <r>
    <s v="TX1294"/>
    <x v="99"/>
    <x v="7"/>
    <x v="2"/>
    <x v="0"/>
    <x v="0"/>
    <n v="2"/>
    <s v="Tamamlandı"/>
    <n v="770046544"/>
    <s v="LƏ-1294"/>
    <s v="Leyla-Sumqayit Filialina çardırılma"/>
    <n v="400"/>
    <n v="650"/>
    <x v="36"/>
    <n v="500"/>
    <s v="0%"/>
    <d v="2026-02-28T00:00:00"/>
    <s v="Tuesday"/>
  </r>
  <r>
    <s v="TX1295"/>
    <x v="23"/>
    <x v="3"/>
    <x v="1"/>
    <x v="1"/>
    <x v="2"/>
    <n v="2"/>
    <s v="Tamamlandı"/>
    <n v="519819474"/>
    <s v="NM-1295"/>
    <s v="Nərgin-Bakı Filialina çardırılma"/>
    <n v="15"/>
    <n v="45"/>
    <x v="32"/>
    <n v="60"/>
    <s v="0%"/>
    <s v=""/>
    <s v="Friday"/>
  </r>
  <r>
    <s v="TX1296"/>
    <x v="26"/>
    <x v="7"/>
    <x v="1"/>
    <x v="0"/>
    <x v="2"/>
    <n v="7"/>
    <s v="Tamamlandı"/>
    <n v="515283376"/>
    <s v="LƏ-1296"/>
    <s v="Leyla-Sumqayit Filialina çardırılma"/>
    <n v="15"/>
    <n v="45"/>
    <x v="34"/>
    <n v="210"/>
    <n v="40.5"/>
    <s v=""/>
    <s v="Sunday"/>
  </r>
  <r>
    <s v="TX1297"/>
    <x v="129"/>
    <x v="2"/>
    <x v="1"/>
    <x v="2"/>
    <x v="2"/>
    <n v="2"/>
    <s v="Tamamlandı"/>
    <n v="506106218"/>
    <s v="MI-1297"/>
    <s v="Murad-Gence Filialina çardırılma"/>
    <n v="15"/>
    <n v="45"/>
    <x v="32"/>
    <n v="60"/>
    <s v="0%"/>
    <s v=""/>
    <s v="Monday"/>
  </r>
  <r>
    <s v="TX1298"/>
    <x v="117"/>
    <x v="7"/>
    <x v="3"/>
    <x v="1"/>
    <x v="2"/>
    <n v="6"/>
    <s v="Tamamlandı"/>
    <n v="700902446"/>
    <s v="LƏ-1298"/>
    <s v="Leyla-Bakı Filialina çardırılma"/>
    <n v="600"/>
    <n v="950"/>
    <x v="15"/>
    <n v="2100"/>
    <n v="855"/>
    <s v=""/>
    <s v="Wednesday"/>
  </r>
  <r>
    <s v="TX1299"/>
    <x v="108"/>
    <x v="5"/>
    <x v="0"/>
    <x v="3"/>
    <x v="0"/>
    <n v="1"/>
    <s v="Tamamlandı"/>
    <n v="519469142"/>
    <s v="ƏM-1299"/>
    <s v="Əli-Gəncə Filialina çardırılma"/>
    <n v="1200"/>
    <n v="1800"/>
    <x v="11"/>
    <n v="600"/>
    <s v="0%"/>
    <d v="2026-03-31T00:00:00"/>
    <s v="Monday"/>
  </r>
  <r>
    <s v="TX1300"/>
    <x v="115"/>
    <x v="6"/>
    <x v="1"/>
    <x v="0"/>
    <x v="3"/>
    <n v="10"/>
    <s v="Tamamlandı"/>
    <n v="709694520"/>
    <s v="AV-1300"/>
    <s v="Aysel-Sumqayıt Filialina çardırılma"/>
    <n v="15"/>
    <n v="45"/>
    <x v="24"/>
    <n v="300"/>
    <s v="0%"/>
    <s v=""/>
    <s v="Friday"/>
  </r>
  <r>
    <s v="TX1301"/>
    <x v="87"/>
    <x v="6"/>
    <x v="0"/>
    <x v="1"/>
    <x v="1"/>
    <n v="2"/>
    <s v="Tamamlandı"/>
    <n v="510543471"/>
    <s v="AV-1301"/>
    <s v="Aysel-Baki Filialina çardırılma"/>
    <n v="1200"/>
    <n v="1800"/>
    <x v="13"/>
    <n v="1200"/>
    <s v="0%"/>
    <s v=""/>
    <s v="Wednesday"/>
  </r>
  <r>
    <s v="TX1302"/>
    <x v="121"/>
    <x v="7"/>
    <x v="1"/>
    <x v="1"/>
    <x v="2"/>
    <n v="3"/>
    <s v="Tamamlandı"/>
    <n v="776833674"/>
    <s v="LƏ-1302"/>
    <s v="Leyla-Baki Filialina çardırılma"/>
    <n v="15"/>
    <n v="45"/>
    <x v="5"/>
    <n v="90"/>
    <s v="0%"/>
    <s v=""/>
    <s v="Saturday"/>
  </r>
  <r>
    <s v="TX1303"/>
    <x v="21"/>
    <x v="2"/>
    <x v="1"/>
    <x v="3"/>
    <x v="0"/>
    <n v="7"/>
    <s v="Tamamlandı"/>
    <n v="706007783"/>
    <s v="MI-1303"/>
    <s v="Murad-Gəncə Filialina çardırılma"/>
    <n v="15"/>
    <n v="45"/>
    <x v="34"/>
    <n v="210"/>
    <s v="0%"/>
    <d v="2026-02-28T00:00:00"/>
    <s v="Sunday"/>
  </r>
  <r>
    <s v="TX1304"/>
    <x v="78"/>
    <x v="0"/>
    <x v="2"/>
    <x v="0"/>
    <x v="2"/>
    <n v="10"/>
    <s v="Tamamlandı"/>
    <n v="553806808"/>
    <s v="RH-1304"/>
    <s v="Ramil-Sumqayit Filialina çardırılma"/>
    <n v="400"/>
    <n v="650"/>
    <x v="6"/>
    <n v="2500"/>
    <n v="585"/>
    <s v=""/>
    <s v="Monday"/>
  </r>
  <r>
    <s v="TX1305"/>
    <x v="90"/>
    <x v="5"/>
    <x v="1"/>
    <x v="2"/>
    <x v="2"/>
    <n v="1"/>
    <s v="Tamamlandı"/>
    <n v="516214337"/>
    <s v="ƏM-1305"/>
    <s v="Əli-Gence Filialina çardırılma"/>
    <n v="15"/>
    <n v="45"/>
    <x v="2"/>
    <n v="30"/>
    <s v="0%"/>
    <s v=""/>
    <s v="Sunday"/>
  </r>
  <r>
    <s v="TX1306"/>
    <x v="103"/>
    <x v="3"/>
    <x v="0"/>
    <x v="1"/>
    <x v="1"/>
    <n v="1"/>
    <s v="Tamamlandı"/>
    <n v="708996399"/>
    <s v="NM-1306"/>
    <s v="Nərgin-Baki Filialina çardırılma"/>
    <n v="1200"/>
    <n v="1800"/>
    <x v="11"/>
    <n v="600"/>
    <s v="0%"/>
    <s v=""/>
    <s v="Wednesday"/>
  </r>
  <r>
    <s v="TX1307"/>
    <x v="23"/>
    <x v="1"/>
    <x v="1"/>
    <x v="3"/>
    <x v="1"/>
    <n v="3"/>
    <s v="Tamamlandı"/>
    <n v="555596941"/>
    <s v="ZM-1307"/>
    <s v="Zaur-Gəncə Filialina çardırılma"/>
    <n v="15"/>
    <n v="45"/>
    <x v="5"/>
    <n v="90"/>
    <s v="0%"/>
    <s v=""/>
    <s v="Friday"/>
  </r>
  <r>
    <s v="TX1308"/>
    <x v="125"/>
    <x v="7"/>
    <x v="1"/>
    <x v="1"/>
    <x v="0"/>
    <n v="2"/>
    <s v="Tamamlandı"/>
    <n v="700238058"/>
    <s v="LƏ-1308"/>
    <s v="Leyla-Baki Filialina çardırılma"/>
    <n v="15"/>
    <n v="45"/>
    <x v="32"/>
    <n v="60"/>
    <s v="0%"/>
    <d v="2026-02-28T00:00:00"/>
    <s v="Saturday"/>
  </r>
  <r>
    <s v="TX1309"/>
    <x v="11"/>
    <x v="2"/>
    <x v="0"/>
    <x v="1"/>
    <x v="2"/>
    <n v="7"/>
    <s v="Tamamlandı"/>
    <n v="501940714"/>
    <s v="MI-1309"/>
    <s v="Murad-Baki Filialina çardırılma"/>
    <n v="1200"/>
    <n v="1800"/>
    <x v="9"/>
    <n v="4200"/>
    <n v="1620"/>
    <s v=""/>
    <s v="Wednesday"/>
  </r>
  <r>
    <s v="TX1310"/>
    <x v="129"/>
    <x v="3"/>
    <x v="0"/>
    <x v="2"/>
    <x v="2"/>
    <n v="9"/>
    <s v="Tamamlandı"/>
    <n v="513236744"/>
    <s v="NM-1310"/>
    <s v="Nərgin-Gence Filialina çardırılma"/>
    <n v="1200"/>
    <n v="1800"/>
    <x v="35"/>
    <n v="5400"/>
    <n v="1620"/>
    <s v=""/>
    <s v="Monday"/>
  </r>
  <r>
    <s v="TX1311"/>
    <x v="130"/>
    <x v="6"/>
    <x v="1"/>
    <x v="2"/>
    <x v="0"/>
    <n v="2"/>
    <s v="Tamamlandı"/>
    <n v="512106544"/>
    <s v="AV-1311"/>
    <s v="Aysel-Gence Filialina çardırılma"/>
    <n v="15"/>
    <n v="45"/>
    <x v="32"/>
    <n v="60"/>
    <s v="0%"/>
    <d v="2026-03-31T00:00:00"/>
    <s v="Monday"/>
  </r>
  <r>
    <s v="TX1312"/>
    <x v="122"/>
    <x v="6"/>
    <x v="1"/>
    <x v="1"/>
    <x v="2"/>
    <n v="8"/>
    <s v="Tamamlandı"/>
    <n v="705594330"/>
    <s v="AV-1312"/>
    <s v="Aysel-Baki Filialina çardırılma"/>
    <n v="15"/>
    <n v="45"/>
    <x v="14"/>
    <n v="240"/>
    <n v="40.5"/>
    <s v=""/>
    <s v="Monday"/>
  </r>
  <r>
    <s v="TX1313"/>
    <x v="77"/>
    <x v="6"/>
    <x v="1"/>
    <x v="3"/>
    <x v="0"/>
    <n v="8"/>
    <s v="Tamamlandı"/>
    <n v="505663280"/>
    <s v="AV-1313"/>
    <s v="Aysel-Gəncə Filialina çardırılma"/>
    <n v="15"/>
    <n v="45"/>
    <x v="14"/>
    <n v="240"/>
    <s v="0%"/>
    <d v="2026-02-28T00:00:00"/>
    <s v="Saturday"/>
  </r>
  <r>
    <s v="TX1314"/>
    <x v="76"/>
    <x v="4"/>
    <x v="0"/>
    <x v="0"/>
    <x v="2"/>
    <n v="4"/>
    <s v="Tamamlandı"/>
    <n v="704700982"/>
    <s v="EQ-1314"/>
    <s v="Elnur-Sumqayıt Filialina çardırılma"/>
    <n v="1200"/>
    <n v="1800"/>
    <x v="27"/>
    <n v="2400"/>
    <s v="0%"/>
    <s v=""/>
    <s v="Thursday"/>
  </r>
  <r>
    <s v="TX1315"/>
    <x v="131"/>
    <x v="1"/>
    <x v="1"/>
    <x v="4"/>
    <x v="0"/>
    <n v="4"/>
    <s v="Tamamlandı"/>
    <n v="504917832"/>
    <s v="ZM-1315"/>
    <s v="Zaur-Naməlum Filialina çardırılma"/>
    <n v="15"/>
    <n v="45"/>
    <x v="22"/>
    <n v="120"/>
    <s v="0%"/>
    <d v="2026-05-31T00:00:00"/>
    <s v="Thursday"/>
  </r>
  <r>
    <s v="TX1316"/>
    <x v="131"/>
    <x v="1"/>
    <x v="1"/>
    <x v="0"/>
    <x v="1"/>
    <n v="7"/>
    <s v="Tamamlandı"/>
    <n v="551629977"/>
    <s v="ZM-1316"/>
    <s v="Zaur-Sumqayit Filialina çardırılma"/>
    <n v="15"/>
    <n v="45"/>
    <x v="34"/>
    <n v="210"/>
    <s v="0%"/>
    <s v=""/>
    <s v="Thursday"/>
  </r>
  <r>
    <s v="TX1317"/>
    <x v="72"/>
    <x v="4"/>
    <x v="2"/>
    <x v="2"/>
    <x v="0"/>
    <n v="3"/>
    <s v="Tamamlandı"/>
    <n v="701295818"/>
    <s v="EQ-1317"/>
    <s v="Elnur-Gence Filialina çardırılma"/>
    <n v="400"/>
    <n v="650"/>
    <x v="38"/>
    <n v="750"/>
    <s v="0%"/>
    <d v="2026-02-28T00:00:00"/>
    <s v="Friday"/>
  </r>
  <r>
    <s v="TX1318"/>
    <x v="111"/>
    <x v="0"/>
    <x v="0"/>
    <x v="0"/>
    <x v="0"/>
    <n v="3"/>
    <s v="Tamamlandı"/>
    <n v="512314099"/>
    <s v="RH-1318"/>
    <s v="Ramil-Sumqayıt Filialina çardırılma"/>
    <n v="1200"/>
    <n v="1800"/>
    <x v="4"/>
    <n v="1800"/>
    <s v="0%"/>
    <d v="2026-04-30T00:00:00"/>
    <s v="Friday"/>
  </r>
  <r>
    <s v="TX1319"/>
    <x v="113"/>
    <x v="5"/>
    <x v="1"/>
    <x v="3"/>
    <x v="2"/>
    <n v="7"/>
    <s v="Tamamlandı"/>
    <n v="706776225"/>
    <s v="ƏM-1319"/>
    <s v="Əli-Gəncə Filialina çardırılma"/>
    <n v="15"/>
    <n v="45"/>
    <x v="34"/>
    <n v="210"/>
    <n v="40.5"/>
    <s v=""/>
    <s v="Saturday"/>
  </r>
  <r>
    <s v="TX1320"/>
    <x v="21"/>
    <x v="6"/>
    <x v="0"/>
    <x v="0"/>
    <x v="2"/>
    <n v="6"/>
    <s v="Tamamlandı"/>
    <n v="554522424"/>
    <s v="AV-1320"/>
    <s v="Aysel-Sumqayit Filialina çardırılma"/>
    <n v="1200"/>
    <n v="1800"/>
    <x v="3"/>
    <n v="3600"/>
    <n v="1620"/>
    <s v=""/>
    <s v="Sunday"/>
  </r>
  <r>
    <s v="TX1321"/>
    <x v="84"/>
    <x v="3"/>
    <x v="1"/>
    <x v="0"/>
    <x v="0"/>
    <n v="2"/>
    <s v="Tamamlandı"/>
    <n v="508862200"/>
    <s v="NM-1321"/>
    <s v="Nərgin-Sumqayıt Filialina çardırılma"/>
    <n v="15"/>
    <n v="45"/>
    <x v="32"/>
    <n v="60"/>
    <s v="0%"/>
    <d v="2026-04-30T00:00:00"/>
    <s v="Sunday"/>
  </r>
  <r>
    <s v="TX1322"/>
    <x v="62"/>
    <x v="7"/>
    <x v="1"/>
    <x v="1"/>
    <x v="2"/>
    <n v="5"/>
    <s v="Tamamlandı"/>
    <n v="705875077"/>
    <s v="LƏ-1322"/>
    <s v="Leyla-Bakı Filialina çardırılma"/>
    <n v="15"/>
    <n v="45"/>
    <x v="1"/>
    <n v="150"/>
    <s v="0%"/>
    <s v=""/>
    <s v="Sunday"/>
  </r>
  <r>
    <s v="TX1323"/>
    <x v="88"/>
    <x v="4"/>
    <x v="1"/>
    <x v="3"/>
    <x v="1"/>
    <n v="10"/>
    <s v="Tamamlandı"/>
    <n v="708372781"/>
    <s v="EQ-1323"/>
    <s v="Elnur-Gəncə Filialina çardırılma"/>
    <n v="15"/>
    <n v="45"/>
    <x v="24"/>
    <n v="300"/>
    <s v="0%"/>
    <s v=""/>
    <s v="Monday"/>
  </r>
  <r>
    <s v="TX1324"/>
    <x v="29"/>
    <x v="4"/>
    <x v="0"/>
    <x v="0"/>
    <x v="0"/>
    <n v="9"/>
    <s v="Tamamlandı"/>
    <n v="774254473"/>
    <s v="EQ-1324"/>
    <s v="Elnur-Sumqayıt Filialina çardırılma"/>
    <n v="1200"/>
    <n v="1800"/>
    <x v="35"/>
    <n v="5400"/>
    <s v="0%"/>
    <d v="2026-05-31T00:00:00"/>
    <s v="Monday"/>
  </r>
  <r>
    <s v="TX1325"/>
    <x v="127"/>
    <x v="7"/>
    <x v="0"/>
    <x v="3"/>
    <x v="2"/>
    <n v="5"/>
    <s v="Tamamlandı"/>
    <n v="703178692"/>
    <s v="LƏ-1325"/>
    <s v="Leyla-Gəncə Filialina çardırılma"/>
    <n v="1200"/>
    <n v="1800"/>
    <x v="19"/>
    <n v="3000"/>
    <s v="0%"/>
    <s v=""/>
    <s v="Wednesday"/>
  </r>
  <r>
    <s v="TX1326"/>
    <x v="55"/>
    <x v="7"/>
    <x v="0"/>
    <x v="0"/>
    <x v="2"/>
    <n v="3"/>
    <s v="Tamamlandı"/>
    <n v="775668814"/>
    <s v="LƏ-1326"/>
    <s v="Leyla-Sumqayit Filialina çardırılma"/>
    <n v="1200"/>
    <n v="1800"/>
    <x v="4"/>
    <n v="1800"/>
    <s v="0%"/>
    <s v=""/>
    <s v="Tuesday"/>
  </r>
  <r>
    <s v="TX1327"/>
    <x v="26"/>
    <x v="5"/>
    <x v="0"/>
    <x v="3"/>
    <x v="1"/>
    <n v="7"/>
    <s v="Tamamlandı"/>
    <n v="707018427"/>
    <s v="ƏM-1327"/>
    <s v="Əli-Gəncə Filialina çardırılma"/>
    <n v="1200"/>
    <n v="1800"/>
    <x v="9"/>
    <n v="4200"/>
    <s v="0%"/>
    <s v=""/>
    <s v="Sunday"/>
  </r>
  <r>
    <s v="TX1328"/>
    <x v="95"/>
    <x v="3"/>
    <x v="0"/>
    <x v="1"/>
    <x v="0"/>
    <n v="5"/>
    <s v="Tamamlandı"/>
    <n v="775248865"/>
    <s v="NM-1328"/>
    <s v="Nərgin-Baki Filialina çardırılma"/>
    <n v="1200"/>
    <n v="1800"/>
    <x v="19"/>
    <n v="3000"/>
    <s v="0%"/>
    <d v="2026-01-31T00:00:00"/>
    <s v="Saturday"/>
  </r>
  <r>
    <s v="TX1329"/>
    <x v="114"/>
    <x v="3"/>
    <x v="0"/>
    <x v="1"/>
    <x v="0"/>
    <n v="5"/>
    <s v="Tamamlandı"/>
    <n v="502232840"/>
    <s v="NM-1329"/>
    <s v="Nərgin-Baki Filialina çardırılma"/>
    <n v="1200"/>
    <n v="1800"/>
    <x v="19"/>
    <n v="3000"/>
    <s v="0%"/>
    <d v="2026-05-31T00:00:00"/>
    <s v="Tuesday"/>
  </r>
  <r>
    <s v="TX1330"/>
    <x v="72"/>
    <x v="5"/>
    <x v="3"/>
    <x v="1"/>
    <x v="0"/>
    <n v="6"/>
    <s v="Tamamlandı"/>
    <n v="507463555"/>
    <s v="ƏM-1330"/>
    <s v="Əli-Baki Filialina çardırılma"/>
    <n v="600"/>
    <n v="950"/>
    <x v="15"/>
    <n v="2100"/>
    <s v="0%"/>
    <d v="2026-02-28T00:00:00"/>
    <s v="Friday"/>
  </r>
  <r>
    <s v="TX1331"/>
    <x v="132"/>
    <x v="2"/>
    <x v="2"/>
    <x v="2"/>
    <x v="0"/>
    <n v="3"/>
    <s v="Tamamlandı"/>
    <n v="704032003"/>
    <s v="MI-1331"/>
    <s v="Murad-Gence Filialina çardırılma"/>
    <n v="400"/>
    <n v="650"/>
    <x v="38"/>
    <n v="750"/>
    <s v="0%"/>
    <d v="2026-05-31T00:00:00"/>
    <s v="Sunday"/>
  </r>
  <r>
    <s v="TX1332"/>
    <x v="111"/>
    <x v="5"/>
    <x v="2"/>
    <x v="2"/>
    <x v="0"/>
    <n v="3"/>
    <s v="Tamamlandı"/>
    <n v="708661758"/>
    <s v="ƏM-1332"/>
    <s v="Əli-Gence Filialina çardırılma"/>
    <n v="400"/>
    <n v="650"/>
    <x v="38"/>
    <n v="750"/>
    <s v="0%"/>
    <d v="2026-04-30T00:00:00"/>
    <s v="Friday"/>
  </r>
  <r>
    <s v="TX1333"/>
    <x v="5"/>
    <x v="1"/>
    <x v="3"/>
    <x v="1"/>
    <x v="0"/>
    <n v="2"/>
    <s v="Tamamlandı"/>
    <n v="700042126"/>
    <s v="ZM-1333"/>
    <s v="Zaur-Bakı Filialina çardırılma"/>
    <n v="600"/>
    <n v="950"/>
    <x v="21"/>
    <n v="700"/>
    <s v="0%"/>
    <d v="2026-01-31T00:00:00"/>
    <s v="Wednesday"/>
  </r>
  <r>
    <s v="TX1334"/>
    <x v="8"/>
    <x v="7"/>
    <x v="1"/>
    <x v="2"/>
    <x v="0"/>
    <n v="6"/>
    <s v="Tamamlandı"/>
    <n v="777614808"/>
    <s v="LƏ-1334"/>
    <s v="Leyla-Gence Filialina çardırılma"/>
    <n v="15"/>
    <n v="45"/>
    <x v="31"/>
    <n v="180"/>
    <s v="0%"/>
    <d v="2026-03-31T00:00:00"/>
    <s v="Wednesday"/>
  </r>
  <r>
    <s v="TX1335"/>
    <x v="43"/>
    <x v="4"/>
    <x v="0"/>
    <x v="1"/>
    <x v="0"/>
    <n v="9"/>
    <s v="Tamamlandı"/>
    <n v="778145245"/>
    <s v="EQ-1335"/>
    <s v="Elnur-Bakı Filialina çardırılma"/>
    <n v="1200"/>
    <n v="1800"/>
    <x v="35"/>
    <n v="5400"/>
    <s v="0%"/>
    <d v="2026-01-31T00:00:00"/>
    <s v="Friday"/>
  </r>
  <r>
    <s v="TX1336"/>
    <x v="64"/>
    <x v="5"/>
    <x v="1"/>
    <x v="0"/>
    <x v="2"/>
    <n v="6"/>
    <s v="Tamamlandı"/>
    <n v="705262569"/>
    <s v="ƏM-1336"/>
    <s v="Əli-Sumqayit Filialina çardırılma"/>
    <n v="15"/>
    <n v="45"/>
    <x v="31"/>
    <n v="180"/>
    <n v="40.5"/>
    <s v=""/>
    <s v="Friday"/>
  </r>
  <r>
    <s v="TX1337"/>
    <x v="126"/>
    <x v="2"/>
    <x v="1"/>
    <x v="1"/>
    <x v="0"/>
    <n v="1"/>
    <s v="Tamamlandı"/>
    <n v="508728669"/>
    <s v="MI-1337"/>
    <s v="Murad-Baki Filialina çardırılma"/>
    <n v="15"/>
    <n v="45"/>
    <x v="2"/>
    <n v="30"/>
    <s v="0%"/>
    <d v="2026-04-30T00:00:00"/>
    <s v="Friday"/>
  </r>
  <r>
    <s v="TX1338"/>
    <x v="47"/>
    <x v="0"/>
    <x v="1"/>
    <x v="0"/>
    <x v="0"/>
    <n v="1"/>
    <s v="Tamamlandı"/>
    <n v="702540731"/>
    <s v="RH-1338"/>
    <s v="Ramil-Sumqayit Filialina çardırılma"/>
    <n v="15"/>
    <n v="45"/>
    <x v="2"/>
    <n v="30"/>
    <s v="0%"/>
    <d v="2026-04-30T00:00:00"/>
    <s v="Sunday"/>
  </r>
  <r>
    <s v="TX1339"/>
    <x v="133"/>
    <x v="3"/>
    <x v="1"/>
    <x v="0"/>
    <x v="2"/>
    <n v="5"/>
    <s v="Tamamlandı"/>
    <n v="551252221"/>
    <s v="NM-1339"/>
    <s v="Nərgin-Sumqayit Filialina çardırılma"/>
    <n v="15"/>
    <n v="45"/>
    <x v="1"/>
    <n v="150"/>
    <s v="0%"/>
    <s v=""/>
    <s v="Thursday"/>
  </r>
  <r>
    <s v="TX1340"/>
    <x v="40"/>
    <x v="7"/>
    <x v="1"/>
    <x v="0"/>
    <x v="2"/>
    <n v="7"/>
    <s v="Tamamlandı"/>
    <n v="508531524"/>
    <s v="LƏ-1340"/>
    <s v="Leyla-Sumqayit Filialina çardırılma"/>
    <n v="15"/>
    <n v="45"/>
    <x v="34"/>
    <n v="210"/>
    <n v="40.5"/>
    <s v=""/>
    <s v="Friday"/>
  </r>
  <r>
    <s v="TX1341"/>
    <x v="134"/>
    <x v="0"/>
    <x v="1"/>
    <x v="0"/>
    <x v="0"/>
    <n v="4"/>
    <s v="Tamamlandı"/>
    <n v="509152894"/>
    <s v="RH-1341"/>
    <s v="Ramil-Sumqayıt Filialina çardırılma"/>
    <n v="15"/>
    <n v="45"/>
    <x v="22"/>
    <n v="120"/>
    <s v="0%"/>
    <d v="2026-04-30T00:00:00"/>
    <s v="Wednesday"/>
  </r>
  <r>
    <s v="TX1342"/>
    <x v="135"/>
    <x v="6"/>
    <x v="1"/>
    <x v="0"/>
    <x v="0"/>
    <n v="4"/>
    <s v="Tamamlandı"/>
    <n v="704287993"/>
    <s v="AV-1342"/>
    <s v="Aysel-Sumqayit Filialina çardırılma"/>
    <n v="15"/>
    <n v="45"/>
    <x v="22"/>
    <n v="120"/>
    <s v="0%"/>
    <d v="2026-05-31T00:00:00"/>
    <s v="Saturday"/>
  </r>
  <r>
    <s v="TX1343"/>
    <x v="92"/>
    <x v="7"/>
    <x v="1"/>
    <x v="1"/>
    <x v="0"/>
    <n v="10"/>
    <s v="Tamamlandı"/>
    <n v="704614656"/>
    <s v="LƏ-1343"/>
    <s v="Leyla-Baki Filialina çardırılma"/>
    <n v="15"/>
    <n v="45"/>
    <x v="24"/>
    <n v="300"/>
    <s v="0%"/>
    <d v="2026-03-31T00:00:00"/>
    <s v="Saturday"/>
  </r>
  <r>
    <s v="TX1344"/>
    <x v="20"/>
    <x v="7"/>
    <x v="1"/>
    <x v="3"/>
    <x v="1"/>
    <n v="3"/>
    <s v="Tamamlandı"/>
    <n v="556525656"/>
    <s v="LƏ-1344"/>
    <s v="Leyla-Gəncə Filialina çardırılma"/>
    <n v="15"/>
    <n v="45"/>
    <x v="5"/>
    <n v="90"/>
    <s v="0%"/>
    <s v=""/>
    <s v="Wednesday"/>
  </r>
  <r>
    <s v="TX1345"/>
    <x v="76"/>
    <x v="5"/>
    <x v="1"/>
    <x v="1"/>
    <x v="1"/>
    <n v="7"/>
    <s v="Tamamlandı"/>
    <n v="500427885"/>
    <s v="ƏM-1345"/>
    <s v="Əli-Baki Filialina çardırılma"/>
    <n v="15"/>
    <n v="45"/>
    <x v="34"/>
    <n v="210"/>
    <s v="0%"/>
    <s v=""/>
    <s v="Thursday"/>
  </r>
  <r>
    <s v="TX1346"/>
    <x v="136"/>
    <x v="1"/>
    <x v="1"/>
    <x v="0"/>
    <x v="1"/>
    <n v="10"/>
    <s v="Tamamlandı"/>
    <n v="504925373"/>
    <s v="ZM-1346"/>
    <s v="Zaur-Sumqayıt Filialina çardırılma"/>
    <n v="15"/>
    <n v="45"/>
    <x v="24"/>
    <n v="300"/>
    <s v="0%"/>
    <s v=""/>
    <s v="Sunday"/>
  </r>
  <r>
    <s v="TX1347"/>
    <x v="99"/>
    <x v="7"/>
    <x v="1"/>
    <x v="0"/>
    <x v="2"/>
    <n v="1"/>
    <s v="Tamamlandı"/>
    <n v="500761207"/>
    <s v="LƏ-1347"/>
    <s v="Leyla-Sumqayıt Filialina çardırılma"/>
    <n v="15"/>
    <n v="45"/>
    <x v="2"/>
    <n v="30"/>
    <s v="0%"/>
    <s v=""/>
    <s v="Tuesday"/>
  </r>
  <r>
    <s v="TX1348"/>
    <x v="47"/>
    <x v="0"/>
    <x v="3"/>
    <x v="0"/>
    <x v="2"/>
    <n v="1"/>
    <s v="Tamamlandı"/>
    <n v="700030647"/>
    <s v="RH-1348"/>
    <s v="Ramil-Sumqayit Filialina çardırılma"/>
    <n v="600"/>
    <n v="950"/>
    <x v="16"/>
    <n v="350"/>
    <s v="0%"/>
    <s v=""/>
    <s v="Sunday"/>
  </r>
  <r>
    <s v="TX1349"/>
    <x v="39"/>
    <x v="1"/>
    <x v="2"/>
    <x v="0"/>
    <x v="1"/>
    <n v="4"/>
    <s v="Tamamlandı"/>
    <n v="500517212"/>
    <s v="ZM-1349"/>
    <s v="Zaur-Sumqayit Filialina çardırılma"/>
    <n v="400"/>
    <n v="650"/>
    <x v="20"/>
    <n v="1000"/>
    <s v="0%"/>
    <s v=""/>
    <s v="Monday"/>
  </r>
  <r>
    <s v="TX1350"/>
    <x v="81"/>
    <x v="2"/>
    <x v="1"/>
    <x v="4"/>
    <x v="1"/>
    <n v="10"/>
    <s v="Tamamlandı"/>
    <n v="707459342"/>
    <s v="MI-1350"/>
    <s v="Murad-Naməlum Filialina çardırılma"/>
    <n v="15"/>
    <n v="45"/>
    <x v="24"/>
    <n v="300"/>
    <s v="0%"/>
    <s v=""/>
    <s v="Sunday"/>
  </r>
  <r>
    <s v="TX1351"/>
    <x v="23"/>
    <x v="1"/>
    <x v="0"/>
    <x v="0"/>
    <x v="2"/>
    <n v="2"/>
    <s v="Tamamlandı"/>
    <n v="551302108"/>
    <s v="ZM-1351"/>
    <s v="Zaur-Sumqayit Filialina çardırılma"/>
    <n v="1200"/>
    <n v="1800"/>
    <x v="13"/>
    <n v="1200"/>
    <s v="0%"/>
    <s v=""/>
    <s v="Friday"/>
  </r>
  <r>
    <s v="TX1352"/>
    <x v="82"/>
    <x v="2"/>
    <x v="3"/>
    <x v="1"/>
    <x v="0"/>
    <n v="3"/>
    <s v="Tamamlandı"/>
    <n v="550245798"/>
    <s v="MI-1352"/>
    <s v="Murad-Baki Filialina çardırılma"/>
    <n v="600"/>
    <n v="950"/>
    <x v="18"/>
    <n v="1050"/>
    <s v="0%"/>
    <d v="2026-04-30T00:00:00"/>
    <s v="Friday"/>
  </r>
  <r>
    <s v="TX1353"/>
    <x v="16"/>
    <x v="0"/>
    <x v="0"/>
    <x v="1"/>
    <x v="0"/>
    <n v="3"/>
    <s v="Tamamlandı"/>
    <n v="773728422"/>
    <s v="RH-1353"/>
    <s v="Ramil-Bakı Filialina çardırılma"/>
    <n v="1200"/>
    <n v="1800"/>
    <x v="4"/>
    <n v="1800"/>
    <s v="0%"/>
    <d v="2026-06-30T00:00:00"/>
    <s v="Thursday"/>
  </r>
  <r>
    <s v="TX1354"/>
    <x v="63"/>
    <x v="5"/>
    <x v="2"/>
    <x v="0"/>
    <x v="2"/>
    <n v="10"/>
    <s v="Tamamlandı"/>
    <n v="709848821"/>
    <s v="ƏM-1354"/>
    <s v="Əli-Sumqayıt Filialina çardırılma"/>
    <n v="400"/>
    <n v="650"/>
    <x v="6"/>
    <n v="2500"/>
    <n v="585"/>
    <s v=""/>
    <s v="Tuesday"/>
  </r>
  <r>
    <s v="TX1355"/>
    <x v="34"/>
    <x v="4"/>
    <x v="2"/>
    <x v="0"/>
    <x v="1"/>
    <n v="9"/>
    <s v="Tamamlandı"/>
    <n v="514306926"/>
    <s v="EQ-1355"/>
    <s v="Elnur-Sumqayit Filialina çardırılma"/>
    <n v="400"/>
    <n v="650"/>
    <x v="33"/>
    <n v="2250"/>
    <s v="0%"/>
    <s v=""/>
    <s v="Wednesday"/>
  </r>
  <r>
    <s v="TX1356"/>
    <x v="137"/>
    <x v="0"/>
    <x v="3"/>
    <x v="0"/>
    <x v="1"/>
    <n v="9"/>
    <s v="Tamamlandı"/>
    <n v="504372086"/>
    <s v="RH-1356"/>
    <s v="Ramil-Sumqayıt Filialina çardırılma"/>
    <n v="600"/>
    <n v="950"/>
    <x v="10"/>
    <n v="3150"/>
    <s v="0%"/>
    <s v=""/>
    <s v="Friday"/>
  </r>
  <r>
    <s v="TX1357"/>
    <x v="67"/>
    <x v="6"/>
    <x v="3"/>
    <x v="0"/>
    <x v="0"/>
    <n v="9"/>
    <s v="Tamamlandı"/>
    <n v="515706338"/>
    <s v="AV-1357"/>
    <s v="Aysel-Sumqayıt Filialina çardırılma"/>
    <n v="600"/>
    <n v="950"/>
    <x v="10"/>
    <n v="3150"/>
    <s v="0%"/>
    <d v="2026-02-28T00:00:00"/>
    <s v="Monday"/>
  </r>
  <r>
    <s v="TX1358"/>
    <x v="60"/>
    <x v="6"/>
    <x v="0"/>
    <x v="2"/>
    <x v="1"/>
    <n v="10"/>
    <s v="Tamamlandı"/>
    <n v="708720322"/>
    <s v="AV-1358"/>
    <s v="Aysel-Gence Filialina çardırılma"/>
    <n v="1200"/>
    <n v="1800"/>
    <x v="25"/>
    <n v="6000"/>
    <s v="0%"/>
    <s v=""/>
    <s v="Saturday"/>
  </r>
  <r>
    <s v="TX1359"/>
    <x v="134"/>
    <x v="7"/>
    <x v="1"/>
    <x v="0"/>
    <x v="0"/>
    <n v="10"/>
    <s v="Tamamlandı"/>
    <n v="772291493"/>
    <s v="LƏ-1359"/>
    <s v="Leyla-Sumqayit Filialina çardırılma"/>
    <n v="15"/>
    <n v="45"/>
    <x v="24"/>
    <n v="300"/>
    <s v="0%"/>
    <d v="2026-04-30T00:00:00"/>
    <s v="Wednesday"/>
  </r>
  <r>
    <s v="TX1360"/>
    <x v="1"/>
    <x v="3"/>
    <x v="0"/>
    <x v="0"/>
    <x v="3"/>
    <n v="4"/>
    <s v="Tamamlandı"/>
    <n v="772827379"/>
    <s v="NM-1360"/>
    <s v="Nərgin-Sumqayıt Filialina çardırılma"/>
    <n v="1200"/>
    <n v="1800"/>
    <x v="27"/>
    <n v="2400"/>
    <s v="0%"/>
    <s v=""/>
    <s v="Sunday"/>
  </r>
  <r>
    <s v="TX1361"/>
    <x v="3"/>
    <x v="2"/>
    <x v="3"/>
    <x v="1"/>
    <x v="0"/>
    <n v="1"/>
    <s v="Tamamlandı"/>
    <n v="505052233"/>
    <s v="MI-1361"/>
    <s v="Murad-Baki Filialina çardırılma"/>
    <n v="600"/>
    <n v="950"/>
    <x v="16"/>
    <n v="350"/>
    <s v="0%"/>
    <d v="2026-05-31T00:00:00"/>
    <s v="Friday"/>
  </r>
  <r>
    <s v="TX1362"/>
    <x v="138"/>
    <x v="4"/>
    <x v="1"/>
    <x v="3"/>
    <x v="1"/>
    <n v="4"/>
    <s v="Tamamlandı"/>
    <n v="774943587"/>
    <s v="EQ-1362"/>
    <s v="Elnur-Gəncə Filialina çardırılma"/>
    <n v="15"/>
    <n v="45"/>
    <x v="22"/>
    <n v="120"/>
    <s v="0%"/>
    <s v=""/>
    <s v="Tuesday"/>
  </r>
  <r>
    <s v="TX1363"/>
    <x v="106"/>
    <x v="4"/>
    <x v="2"/>
    <x v="3"/>
    <x v="0"/>
    <n v="8"/>
    <s v="Tamamlandı"/>
    <n v="770202895"/>
    <s v="EQ-1363"/>
    <s v="Elnur-Gəncə Filialina çardırılma"/>
    <n v="400"/>
    <n v="650"/>
    <x v="23"/>
    <n v="2000"/>
    <s v="0%"/>
    <d v="2026-02-28T00:00:00"/>
    <s v="Thursday"/>
  </r>
  <r>
    <s v="TX1364"/>
    <x v="6"/>
    <x v="5"/>
    <x v="3"/>
    <x v="1"/>
    <x v="0"/>
    <n v="5"/>
    <s v="Tamamlandı"/>
    <n v="511017230"/>
    <s v="ƏM-1364"/>
    <s v="Əli-Baki Filialina çardırılma"/>
    <n v="600"/>
    <n v="950"/>
    <x v="26"/>
    <n v="1750"/>
    <s v="0%"/>
    <d v="2026-05-31T00:00:00"/>
    <s v="Friday"/>
  </r>
  <r>
    <s v="TX1365"/>
    <x v="116"/>
    <x v="6"/>
    <x v="1"/>
    <x v="0"/>
    <x v="2"/>
    <n v="7"/>
    <s v="Tamamlandı"/>
    <n v="707313103"/>
    <s v="AV-1365"/>
    <s v="Aysel-Sumqayit Filialina çardırılma"/>
    <n v="15"/>
    <n v="45"/>
    <x v="34"/>
    <n v="210"/>
    <n v="40.5"/>
    <s v=""/>
    <s v="Saturday"/>
  </r>
  <r>
    <s v="TX1366"/>
    <x v="75"/>
    <x v="1"/>
    <x v="1"/>
    <x v="1"/>
    <x v="0"/>
    <n v="3"/>
    <s v="Tamamlandı"/>
    <n v="701715730"/>
    <s v="ZM-1366"/>
    <s v="Zaur-Baki Filialina çardırılma"/>
    <n v="15"/>
    <n v="45"/>
    <x v="5"/>
    <n v="90"/>
    <s v="0%"/>
    <d v="2026-05-31T00:00:00"/>
    <s v="Wednesday"/>
  </r>
  <r>
    <s v="TX1367"/>
    <x v="13"/>
    <x v="3"/>
    <x v="1"/>
    <x v="2"/>
    <x v="0"/>
    <n v="9"/>
    <s v="Tamamlandı"/>
    <n v="706414555"/>
    <s v="NM-1367"/>
    <s v="Nərgin-Gence Filialina çardırılma"/>
    <n v="15"/>
    <n v="45"/>
    <x v="30"/>
    <n v="270"/>
    <s v="0%"/>
    <d v="2026-04-30T00:00:00"/>
    <s v="Monday"/>
  </r>
  <r>
    <s v="TX1368"/>
    <x v="55"/>
    <x v="6"/>
    <x v="3"/>
    <x v="2"/>
    <x v="0"/>
    <n v="10"/>
    <s v="Tamamlandı"/>
    <n v="550953605"/>
    <s v="AV-1368"/>
    <s v="Aysel-Gence Filialina çardırılma"/>
    <n v="600"/>
    <n v="950"/>
    <x v="8"/>
    <n v="3500"/>
    <s v="0%"/>
    <d v="2026-06-30T00:00:00"/>
    <s v="Tuesday"/>
  </r>
  <r>
    <s v="TX1369"/>
    <x v="67"/>
    <x v="1"/>
    <x v="3"/>
    <x v="1"/>
    <x v="0"/>
    <n v="6"/>
    <s v="Tamamlandı"/>
    <n v="707273785"/>
    <s v="ZM-1369"/>
    <s v="Zaur-Bakı Filialina çardırılma"/>
    <n v="600"/>
    <n v="950"/>
    <x v="15"/>
    <n v="2100"/>
    <s v="0%"/>
    <d v="2026-02-28T00:00:00"/>
    <s v="Monday"/>
  </r>
  <r>
    <s v="TX1370"/>
    <x v="79"/>
    <x v="4"/>
    <x v="0"/>
    <x v="0"/>
    <x v="1"/>
    <n v="8"/>
    <s v="Tamamlandı"/>
    <n v="501716566"/>
    <s v="EQ-1370"/>
    <s v="Elnur-Sumqayıt Filialina çardırılma"/>
    <n v="1200"/>
    <n v="1800"/>
    <x v="0"/>
    <n v="4800"/>
    <s v="0%"/>
    <s v=""/>
    <s v="Saturday"/>
  </r>
  <r>
    <s v="TX1371"/>
    <x v="4"/>
    <x v="7"/>
    <x v="0"/>
    <x v="1"/>
    <x v="2"/>
    <n v="2"/>
    <s v="Tamamlandı"/>
    <n v="707872346"/>
    <s v="LƏ-1371"/>
    <s v="Leyla-Bakı Filialina çardırılma"/>
    <n v="1200"/>
    <n v="1800"/>
    <x v="13"/>
    <n v="1200"/>
    <s v="0%"/>
    <s v=""/>
    <s v="Tuesday"/>
  </r>
  <r>
    <s v="TX1372"/>
    <x v="16"/>
    <x v="3"/>
    <x v="2"/>
    <x v="2"/>
    <x v="0"/>
    <n v="8"/>
    <s v="Tamamlandı"/>
    <n v="515086624"/>
    <s v="NM-1372"/>
    <s v="Nərgin-Gence Filialina çardırılma"/>
    <n v="400"/>
    <n v="650"/>
    <x v="23"/>
    <n v="2000"/>
    <s v="0%"/>
    <d v="2026-06-30T00:00:00"/>
    <s v="Thursday"/>
  </r>
  <r>
    <s v="TX1373"/>
    <x v="32"/>
    <x v="5"/>
    <x v="3"/>
    <x v="0"/>
    <x v="0"/>
    <n v="7"/>
    <s v="Tamamlandı"/>
    <n v="504464011"/>
    <s v="ƏM-1373"/>
    <s v="Əli-Sumqayit Filialina çardırılma"/>
    <n v="600"/>
    <n v="950"/>
    <x v="17"/>
    <n v="2450"/>
    <s v="0%"/>
    <d v="2026-03-31T00:00:00"/>
    <s v="Sunday"/>
  </r>
  <r>
    <s v="TX1374"/>
    <x v="80"/>
    <x v="6"/>
    <x v="3"/>
    <x v="0"/>
    <x v="2"/>
    <n v="9"/>
    <s v="Tamamlandı"/>
    <n v="503152229"/>
    <s v="AV-1374"/>
    <s v="Aysel-Sumqayit Filialina çardırılma"/>
    <n v="600"/>
    <n v="950"/>
    <x v="10"/>
    <n v="3150"/>
    <n v="855"/>
    <s v=""/>
    <s v="Friday"/>
  </r>
  <r>
    <s v="TX1375"/>
    <x v="28"/>
    <x v="0"/>
    <x v="0"/>
    <x v="0"/>
    <x v="2"/>
    <n v="9"/>
    <s v="Tamamlandı"/>
    <n v="510618410"/>
    <s v="RH-1375"/>
    <s v="Ramil-Sumqayit Filialina çardırılma"/>
    <n v="1200"/>
    <n v="1800"/>
    <x v="35"/>
    <n v="5400"/>
    <n v="1620"/>
    <s v=""/>
    <s v="Sunday"/>
  </r>
  <r>
    <s v="TX1376"/>
    <x v="99"/>
    <x v="4"/>
    <x v="0"/>
    <x v="3"/>
    <x v="0"/>
    <n v="3"/>
    <s v="Tamamlandı"/>
    <n v="774454717"/>
    <s v="EQ-1376"/>
    <s v="Elnur-Gəncə Filialina çardırılma"/>
    <n v="1200"/>
    <n v="1800"/>
    <x v="4"/>
    <n v="1800"/>
    <s v="0%"/>
    <d v="2026-02-28T00:00:00"/>
    <s v="Tuesday"/>
  </r>
  <r>
    <s v="TX1377"/>
    <x v="63"/>
    <x v="0"/>
    <x v="0"/>
    <x v="1"/>
    <x v="0"/>
    <n v="3"/>
    <s v="Tamamlandı"/>
    <n v="702359989"/>
    <s v="RH-1377"/>
    <s v="Ramil-Baki Filialina çardırılma"/>
    <n v="1200"/>
    <n v="1800"/>
    <x v="4"/>
    <n v="1800"/>
    <s v="0%"/>
    <d v="2026-03-31T00:00:00"/>
    <s v="Tuesday"/>
  </r>
  <r>
    <s v="TX1378"/>
    <x v="64"/>
    <x v="3"/>
    <x v="3"/>
    <x v="1"/>
    <x v="2"/>
    <n v="8"/>
    <s v="Tamamlandı"/>
    <n v="513364416"/>
    <s v="NM-1378"/>
    <s v="Nərgin-Baki Filialina çardırılma"/>
    <n v="600"/>
    <n v="950"/>
    <x v="7"/>
    <n v="2800"/>
    <n v="855"/>
    <s v=""/>
    <s v="Friday"/>
  </r>
  <r>
    <s v="TX1379"/>
    <x v="46"/>
    <x v="1"/>
    <x v="2"/>
    <x v="0"/>
    <x v="0"/>
    <n v="5"/>
    <s v="Tamamlandı"/>
    <n v="506615330"/>
    <s v="ZM-1379"/>
    <s v="Zaur-Sumqayit Filialina çardırılma"/>
    <n v="400"/>
    <n v="650"/>
    <x v="12"/>
    <n v="1250"/>
    <s v="0%"/>
    <d v="2026-04-30T00:00:00"/>
    <s v="Wednesday"/>
  </r>
  <r>
    <s v="TX1380"/>
    <x v="1"/>
    <x v="3"/>
    <x v="1"/>
    <x v="2"/>
    <x v="2"/>
    <n v="8"/>
    <s v="Tamamlandı"/>
    <n v="703103301"/>
    <s v="NM-1380"/>
    <s v="Nərgin-Gence Filialina çardırılma"/>
    <n v="15"/>
    <n v="45"/>
    <x v="14"/>
    <n v="240"/>
    <n v="40.5"/>
    <s v=""/>
    <s v="Sunday"/>
  </r>
  <r>
    <s v="TX1381"/>
    <x v="139"/>
    <x v="1"/>
    <x v="3"/>
    <x v="3"/>
    <x v="0"/>
    <n v="4"/>
    <s v="Tamamlandı"/>
    <n v="515075787"/>
    <s v="ZM-1381"/>
    <s v="Zaur-Gəncə Filialina çardırılma"/>
    <n v="600"/>
    <n v="950"/>
    <x v="29"/>
    <n v="1400"/>
    <s v="0%"/>
    <d v="2026-01-31T00:00:00"/>
    <s v="Thursday"/>
  </r>
  <r>
    <s v="TX1382"/>
    <x v="136"/>
    <x v="0"/>
    <x v="0"/>
    <x v="0"/>
    <x v="2"/>
    <n v="3"/>
    <s v="Tamamlandı"/>
    <n v="504219222"/>
    <s v="RH-1382"/>
    <s v="Ramil-Sumqayıt Filialina çardırılma"/>
    <n v="1200"/>
    <n v="1800"/>
    <x v="4"/>
    <n v="1800"/>
    <s v="0%"/>
    <s v=""/>
    <s v="Sunday"/>
  </r>
  <r>
    <s v="TX1383"/>
    <x v="102"/>
    <x v="7"/>
    <x v="1"/>
    <x v="1"/>
    <x v="2"/>
    <n v="1"/>
    <s v="Tamamlandı"/>
    <n v="772551757"/>
    <s v="LƏ-1383"/>
    <s v="Leyla-Bakı Filialina çardırılma"/>
    <n v="15"/>
    <n v="45"/>
    <x v="2"/>
    <n v="30"/>
    <s v="0%"/>
    <s v=""/>
    <s v="Wednesday"/>
  </r>
  <r>
    <s v="TX1384"/>
    <x v="3"/>
    <x v="0"/>
    <x v="0"/>
    <x v="0"/>
    <x v="2"/>
    <n v="1"/>
    <s v="Tamamlandı"/>
    <n v="557576175"/>
    <s v="RH-1384"/>
    <s v="Ramil-Sumqayit Filialina çardırılma"/>
    <n v="1200"/>
    <n v="1800"/>
    <x v="11"/>
    <n v="600"/>
    <s v="0%"/>
    <s v=""/>
    <s v="Friday"/>
  </r>
  <r>
    <s v="TX1385"/>
    <x v="16"/>
    <x v="2"/>
    <x v="2"/>
    <x v="4"/>
    <x v="2"/>
    <n v="4"/>
    <s v="Tamamlandı"/>
    <n v="775899267"/>
    <s v="MI-1385"/>
    <s v="Murad-Naməlum Filialina çardırılma"/>
    <n v="400"/>
    <n v="650"/>
    <x v="20"/>
    <n v="1000"/>
    <s v="0%"/>
    <s v=""/>
    <s v="Thursday"/>
  </r>
  <r>
    <s v="TX1386"/>
    <x v="5"/>
    <x v="7"/>
    <x v="0"/>
    <x v="1"/>
    <x v="0"/>
    <n v="5"/>
    <s v="Tamamlandı"/>
    <n v="707918996"/>
    <s v="LƏ-1386"/>
    <s v="Leyla-Baki Filialina çardırılma"/>
    <n v="1200"/>
    <n v="1800"/>
    <x v="19"/>
    <n v="3000"/>
    <s v="0%"/>
    <d v="2026-01-31T00:00:00"/>
    <s v="Wednesday"/>
  </r>
  <r>
    <s v="TX1387"/>
    <x v="33"/>
    <x v="7"/>
    <x v="3"/>
    <x v="1"/>
    <x v="1"/>
    <n v="6"/>
    <s v="Tamamlandı"/>
    <n v="700669954"/>
    <s v="LƏ-1387"/>
    <s v="Leyla-Bakı Filialina çardırılma"/>
    <n v="600"/>
    <n v="950"/>
    <x v="15"/>
    <n v="2100"/>
    <s v="0%"/>
    <s v=""/>
    <s v="Thursday"/>
  </r>
  <r>
    <s v="TX1388"/>
    <x v="140"/>
    <x v="5"/>
    <x v="1"/>
    <x v="1"/>
    <x v="1"/>
    <n v="9"/>
    <s v="Tamamlandı"/>
    <n v="513955141"/>
    <s v="ƏM-1388"/>
    <s v="Əli-Bakı Filialina çardırılma"/>
    <n v="15"/>
    <n v="45"/>
    <x v="30"/>
    <n v="270"/>
    <s v="0%"/>
    <s v=""/>
    <s v="Monday"/>
  </r>
  <r>
    <s v="TX1389"/>
    <x v="49"/>
    <x v="7"/>
    <x v="0"/>
    <x v="0"/>
    <x v="0"/>
    <n v="4"/>
    <s v="Tamamlandı"/>
    <n v="552738050"/>
    <s v="LƏ-1389"/>
    <s v="Leyla-Sumqayit Filialina çardırılma"/>
    <n v="1200"/>
    <n v="1800"/>
    <x v="27"/>
    <n v="2400"/>
    <s v="0%"/>
    <d v="2026-01-31T00:00:00"/>
    <s v="Saturday"/>
  </r>
  <r>
    <s v="TX1390"/>
    <x v="39"/>
    <x v="4"/>
    <x v="2"/>
    <x v="1"/>
    <x v="1"/>
    <n v="10"/>
    <s v="Tamamlandı"/>
    <n v="507299836"/>
    <s v="EQ-1390"/>
    <s v="Elnur-Bakı Filialina çardırılma"/>
    <n v="400"/>
    <n v="650"/>
    <x v="6"/>
    <n v="2500"/>
    <s v="0%"/>
    <s v=""/>
    <s v="Monday"/>
  </r>
  <r>
    <s v="TX1391"/>
    <x v="132"/>
    <x v="3"/>
    <x v="3"/>
    <x v="1"/>
    <x v="1"/>
    <n v="8"/>
    <s v="Tamamlandı"/>
    <n v="550234179"/>
    <s v="NM-1391"/>
    <s v="Nərgin-Baki Filialina çardırılma"/>
    <n v="600"/>
    <n v="950"/>
    <x v="7"/>
    <n v="2800"/>
    <s v="0%"/>
    <s v=""/>
    <s v="Sunday"/>
  </r>
  <r>
    <s v="TX1392"/>
    <x v="9"/>
    <x v="2"/>
    <x v="1"/>
    <x v="0"/>
    <x v="2"/>
    <n v="3"/>
    <s v="Tamamlandı"/>
    <n v="505707565"/>
    <s v="MI-1392"/>
    <s v="Murad-Sumqayit Filialina çardırılma"/>
    <n v="15"/>
    <n v="45"/>
    <x v="5"/>
    <n v="90"/>
    <s v="0%"/>
    <s v=""/>
    <s v="Thursday"/>
  </r>
  <r>
    <s v="TX1393"/>
    <x v="101"/>
    <x v="2"/>
    <x v="2"/>
    <x v="3"/>
    <x v="0"/>
    <n v="9"/>
    <s v="Tamamlandı"/>
    <n v="774233163"/>
    <s v="MI-1393"/>
    <s v="Murad-Gəncə Filialina çardırılma"/>
    <n v="400"/>
    <n v="650"/>
    <x v="33"/>
    <n v="2250"/>
    <s v="0%"/>
    <d v="2026-05-31T00:00:00"/>
    <s v="Sunday"/>
  </r>
  <r>
    <s v="TX1394"/>
    <x v="124"/>
    <x v="4"/>
    <x v="0"/>
    <x v="1"/>
    <x v="0"/>
    <n v="10"/>
    <s v="Tamamlandı"/>
    <n v="559032200"/>
    <s v="EQ-1394"/>
    <s v="Elnur-Bakı Filialina çardırılma"/>
    <n v="1200"/>
    <n v="1800"/>
    <x v="25"/>
    <n v="6000"/>
    <s v="0%"/>
    <d v="2026-01-31T00:00:00"/>
    <s v="Saturday"/>
  </r>
  <r>
    <s v="TX1395"/>
    <x v="140"/>
    <x v="1"/>
    <x v="3"/>
    <x v="2"/>
    <x v="1"/>
    <n v="4"/>
    <s v="Tamamlandı"/>
    <n v="515977294"/>
    <s v="ZM-1395"/>
    <s v="Zaur-Gence Filialina çardırılma"/>
    <n v="600"/>
    <n v="950"/>
    <x v="29"/>
    <n v="1400"/>
    <s v="0%"/>
    <s v=""/>
    <s v="Monday"/>
  </r>
  <r>
    <s v="TX1396"/>
    <x v="85"/>
    <x v="0"/>
    <x v="1"/>
    <x v="0"/>
    <x v="0"/>
    <n v="5"/>
    <s v="Tamamlandı"/>
    <n v="777690545"/>
    <s v="RH-1396"/>
    <s v="Ramil-Sumqayıt Filialina çardırılma"/>
    <n v="15"/>
    <n v="45"/>
    <x v="1"/>
    <n v="150"/>
    <s v="0%"/>
    <d v="2026-04-30T00:00:00"/>
    <s v="Thursday"/>
  </r>
  <r>
    <s v="TX1397"/>
    <x v="79"/>
    <x v="6"/>
    <x v="1"/>
    <x v="3"/>
    <x v="0"/>
    <n v="4"/>
    <s v="Tamamlandı"/>
    <n v="709215080"/>
    <s v="AV-1397"/>
    <s v="Aysel-Gəncə Filialina çardırılma"/>
    <n v="15"/>
    <n v="45"/>
    <x v="22"/>
    <n v="120"/>
    <s v="0%"/>
    <d v="2026-03-31T00:00:00"/>
    <s v="Saturday"/>
  </r>
  <r>
    <s v="TX1398"/>
    <x v="46"/>
    <x v="7"/>
    <x v="2"/>
    <x v="0"/>
    <x v="0"/>
    <n v="9"/>
    <s v="Tamamlandı"/>
    <n v="515716958"/>
    <s v="LƏ-1398"/>
    <s v="Leyla-Sumqayit Filialina çardırılma"/>
    <n v="400"/>
    <n v="650"/>
    <x v="33"/>
    <n v="2250"/>
    <s v="0%"/>
    <d v="2026-04-30T00:00:00"/>
    <s v="Wednesday"/>
  </r>
  <r>
    <s v="TX1399"/>
    <x v="97"/>
    <x v="0"/>
    <x v="0"/>
    <x v="0"/>
    <x v="2"/>
    <n v="7"/>
    <s v="Tamamlandı"/>
    <n v="708791479"/>
    <s v="RH-1399"/>
    <s v="Ramil-Sumqayıt Filialina çardırılma"/>
    <n v="1200"/>
    <n v="1800"/>
    <x v="9"/>
    <n v="4200"/>
    <n v="1620"/>
    <s v=""/>
    <s v="Wednesday"/>
  </r>
  <r>
    <s v="TX1400"/>
    <x v="45"/>
    <x v="5"/>
    <x v="1"/>
    <x v="1"/>
    <x v="1"/>
    <n v="10"/>
    <s v="Tamamlandı"/>
    <n v="704626902"/>
    <s v="ƏM-1400"/>
    <s v="Əli-Baki Filialina çardırılma"/>
    <n v="15"/>
    <n v="45"/>
    <x v="24"/>
    <n v="300"/>
    <s v="0%"/>
    <s v=""/>
    <s v="Wednesday"/>
  </r>
  <r>
    <s v="TX1401"/>
    <x v="141"/>
    <x v="2"/>
    <x v="1"/>
    <x v="1"/>
    <x v="2"/>
    <n v="4"/>
    <s v="Tamamlandı"/>
    <n v="700217264"/>
    <s v="MI-1401"/>
    <s v="Murad-Bakı Filialina çardırılma"/>
    <n v="15"/>
    <n v="45"/>
    <x v="22"/>
    <n v="120"/>
    <s v="0%"/>
    <s v=""/>
    <s v="Monday"/>
  </r>
  <r>
    <s v="TX1402"/>
    <x v="102"/>
    <x v="1"/>
    <x v="1"/>
    <x v="0"/>
    <x v="0"/>
    <n v="8"/>
    <s v="Tamamlandı"/>
    <n v="702291451"/>
    <s v="ZM-1402"/>
    <s v="Zaur-Sumqayıt Filialina çardırılma"/>
    <n v="15"/>
    <n v="45"/>
    <x v="14"/>
    <n v="240"/>
    <s v="0%"/>
    <d v="2026-03-31T00:00:00"/>
    <s v="Wednesday"/>
  </r>
  <r>
    <s v="TX1403"/>
    <x v="7"/>
    <x v="2"/>
    <x v="0"/>
    <x v="3"/>
    <x v="0"/>
    <n v="1"/>
    <s v="Tamamlandı"/>
    <n v="772924002"/>
    <s v="MI-1403"/>
    <s v="Murad-Gəncə Filialina çardırılma"/>
    <n v="1200"/>
    <n v="1800"/>
    <x v="11"/>
    <n v="600"/>
    <s v="0%"/>
    <d v="2026-05-31T00:00:00"/>
    <s v="Wednesday"/>
  </r>
  <r>
    <s v="TX1404"/>
    <x v="140"/>
    <x v="3"/>
    <x v="0"/>
    <x v="1"/>
    <x v="2"/>
    <n v="4"/>
    <s v="Tamamlandı"/>
    <n v="779380114"/>
    <s v="NM-1404"/>
    <s v="Nərgin-Baki Filialina çardırılma"/>
    <n v="1200"/>
    <n v="1800"/>
    <x v="27"/>
    <n v="2400"/>
    <s v="0%"/>
    <s v=""/>
    <s v="Monday"/>
  </r>
  <r>
    <s v="TX1405"/>
    <x v="87"/>
    <x v="1"/>
    <x v="3"/>
    <x v="0"/>
    <x v="2"/>
    <n v="5"/>
    <s v="Tamamlandı"/>
    <n v="503442252"/>
    <s v="ZM-1405"/>
    <s v="Zaur-Sumqayit Filialina çardırılma"/>
    <n v="600"/>
    <n v="950"/>
    <x v="26"/>
    <n v="1750"/>
    <s v="0%"/>
    <s v=""/>
    <s v="Wednesday"/>
  </r>
  <r>
    <s v="TX1406"/>
    <x v="94"/>
    <x v="2"/>
    <x v="3"/>
    <x v="3"/>
    <x v="2"/>
    <n v="1"/>
    <s v="Tamamlandı"/>
    <n v="556717401"/>
    <s v="MI-1406"/>
    <s v="Murad-Gəncə Filialina çardırılma"/>
    <n v="600"/>
    <n v="950"/>
    <x v="16"/>
    <n v="350"/>
    <s v="0%"/>
    <s v=""/>
    <s v="Sunday"/>
  </r>
  <r>
    <s v="TX1407"/>
    <x v="37"/>
    <x v="0"/>
    <x v="0"/>
    <x v="2"/>
    <x v="0"/>
    <n v="7"/>
    <s v="Tamamlandı"/>
    <n v="700858823"/>
    <s v="RH-1407"/>
    <s v="Ramil-Gence Filialina çardırılma"/>
    <n v="1200"/>
    <n v="1800"/>
    <x v="9"/>
    <n v="4200"/>
    <s v="0%"/>
    <d v="2026-05-31T00:00:00"/>
    <s v="Tuesday"/>
  </r>
  <r>
    <s v="TX1408"/>
    <x v="142"/>
    <x v="4"/>
    <x v="1"/>
    <x v="2"/>
    <x v="0"/>
    <n v="6"/>
    <s v="Tamamlandı"/>
    <n v="776067418"/>
    <s v="EQ-1408"/>
    <s v="Elnur-Gence Filialina çardırılma"/>
    <n v="15"/>
    <n v="45"/>
    <x v="31"/>
    <n v="180"/>
    <s v="0%"/>
    <d v="2026-03-31T00:00:00"/>
    <s v="Tuesday"/>
  </r>
  <r>
    <s v="TX1409"/>
    <x v="69"/>
    <x v="3"/>
    <x v="0"/>
    <x v="0"/>
    <x v="2"/>
    <n v="5"/>
    <s v="Tamamlandı"/>
    <n v="557127560"/>
    <s v="NM-1409"/>
    <s v="Nərgin-Sumqayit Filialina çardırılma"/>
    <n v="1200"/>
    <n v="1800"/>
    <x v="19"/>
    <n v="3000"/>
    <s v="0%"/>
    <s v=""/>
    <s v="Wednesday"/>
  </r>
  <r>
    <s v="TX1410"/>
    <x v="40"/>
    <x v="2"/>
    <x v="2"/>
    <x v="3"/>
    <x v="2"/>
    <n v="7"/>
    <s v="Tamamlandı"/>
    <n v="779704198"/>
    <s v="MI-1410"/>
    <s v="Murad-Gəncə Filialina çardırılma"/>
    <n v="400"/>
    <n v="650"/>
    <x v="39"/>
    <n v="1750"/>
    <n v="585"/>
    <s v=""/>
    <s v="Friday"/>
  </r>
  <r>
    <s v="TX1411"/>
    <x v="4"/>
    <x v="5"/>
    <x v="0"/>
    <x v="0"/>
    <x v="0"/>
    <n v="4"/>
    <s v="Tamamlandı"/>
    <n v="709237020"/>
    <s v="ƏM-1411"/>
    <s v="Əli-Sumqayıt Filialina çardırılma"/>
    <n v="1200"/>
    <n v="1800"/>
    <x v="27"/>
    <n v="2400"/>
    <s v="0%"/>
    <d v="2026-04-30T00:00:00"/>
    <s v="Tuesday"/>
  </r>
  <r>
    <s v="TX1412"/>
    <x v="135"/>
    <x v="2"/>
    <x v="2"/>
    <x v="0"/>
    <x v="0"/>
    <n v="7"/>
    <s v="Tamamlandı"/>
    <n v="557998726"/>
    <s v="MI-1412"/>
    <s v="Murad-Sumqayit Filialina çardırılma"/>
    <n v="400"/>
    <n v="650"/>
    <x v="39"/>
    <n v="1750"/>
    <s v="0%"/>
    <d v="2026-05-31T00:00:00"/>
    <s v="Saturday"/>
  </r>
  <r>
    <s v="TX1413"/>
    <x v="143"/>
    <x v="0"/>
    <x v="3"/>
    <x v="0"/>
    <x v="0"/>
    <n v="10"/>
    <s v="Tamamlandı"/>
    <n v="774567090"/>
    <s v="RH-1413"/>
    <s v="Ramil-Sumqayit Filialina çardırılma"/>
    <n v="600"/>
    <n v="950"/>
    <x v="8"/>
    <n v="3500"/>
    <s v="0%"/>
    <d v="2026-04-30T00:00:00"/>
    <s v="Wednesday"/>
  </r>
  <r>
    <s v="TX1414"/>
    <x v="59"/>
    <x v="7"/>
    <x v="1"/>
    <x v="2"/>
    <x v="0"/>
    <n v="10"/>
    <s v="Tamamlandı"/>
    <n v="770361337"/>
    <s v="LƏ-1414"/>
    <s v="Leyla-Gence Filialina çardırılma"/>
    <n v="15"/>
    <n v="45"/>
    <x v="24"/>
    <n v="300"/>
    <s v="0%"/>
    <d v="2026-04-30T00:00:00"/>
    <s v="Saturday"/>
  </r>
  <r>
    <s v="TX1415"/>
    <x v="119"/>
    <x v="6"/>
    <x v="1"/>
    <x v="1"/>
    <x v="2"/>
    <n v="9"/>
    <s v="Tamamlandı"/>
    <n v="504193870"/>
    <s v="AV-1415"/>
    <s v="Aysel-Baki Filialina çardırılma"/>
    <n v="15"/>
    <n v="45"/>
    <x v="30"/>
    <n v="270"/>
    <n v="40.5"/>
    <s v=""/>
    <s v="Tuesday"/>
  </r>
  <r>
    <s v="TX1416"/>
    <x v="123"/>
    <x v="6"/>
    <x v="2"/>
    <x v="1"/>
    <x v="2"/>
    <n v="9"/>
    <s v="Tamamlandı"/>
    <n v="503384662"/>
    <s v="AV-1416"/>
    <s v="Aysel-Baki Filialina çardırılma"/>
    <n v="400"/>
    <n v="650"/>
    <x v="33"/>
    <n v="2250"/>
    <n v="585"/>
    <s v=""/>
    <s v="Sunday"/>
  </r>
  <r>
    <s v="TX1417"/>
    <x v="75"/>
    <x v="4"/>
    <x v="2"/>
    <x v="1"/>
    <x v="1"/>
    <n v="1"/>
    <s v="Tamamlandı"/>
    <n v="779062493"/>
    <s v="EQ-1417"/>
    <s v="Elnur-Baki Filialina çardırılma"/>
    <n v="400"/>
    <n v="650"/>
    <x v="28"/>
    <n v="250"/>
    <s v="0%"/>
    <s v=""/>
    <s v="Wednesday"/>
  </r>
  <r>
    <s v="TX1418"/>
    <x v="117"/>
    <x v="0"/>
    <x v="0"/>
    <x v="0"/>
    <x v="0"/>
    <n v="7"/>
    <s v="Tamamlandı"/>
    <n v="515681070"/>
    <s v="RH-1418"/>
    <s v="Ramil-Sumqayit Filialina çardırılma"/>
    <n v="1200"/>
    <n v="1800"/>
    <x v="9"/>
    <n v="4200"/>
    <s v="0%"/>
    <d v="2026-05-31T00:00:00"/>
    <s v="Wednesday"/>
  </r>
  <r>
    <s v="TX1419"/>
    <x v="144"/>
    <x v="6"/>
    <x v="3"/>
    <x v="1"/>
    <x v="0"/>
    <n v="9"/>
    <s v="Tamamlandı"/>
    <n v="552746243"/>
    <s v="AV-1419"/>
    <s v="Aysel-Baki Filialina çardırılma"/>
    <n v="600"/>
    <n v="950"/>
    <x v="10"/>
    <n v="3150"/>
    <s v="0%"/>
    <d v="2026-05-31T00:00:00"/>
    <s v="Monday"/>
  </r>
  <r>
    <s v="TX1420"/>
    <x v="115"/>
    <x v="4"/>
    <x v="2"/>
    <x v="4"/>
    <x v="3"/>
    <n v="7"/>
    <s v="Tamamlandı"/>
    <n v="517751437"/>
    <s v="EQ-1420"/>
    <s v="Elnur-Naməlum Filialina çardırılma"/>
    <n v="400"/>
    <n v="650"/>
    <x v="39"/>
    <n v="1750"/>
    <s v="0%"/>
    <s v=""/>
    <s v="Friday"/>
  </r>
  <r>
    <s v="TX1421"/>
    <x v="85"/>
    <x v="0"/>
    <x v="1"/>
    <x v="0"/>
    <x v="0"/>
    <n v="6"/>
    <s v="Tamamlandı"/>
    <n v="772920534"/>
    <s v="RH-1421"/>
    <s v="Ramil-Sumqayıt Filialina çardırılma"/>
    <n v="15"/>
    <n v="45"/>
    <x v="31"/>
    <n v="180"/>
    <s v="0%"/>
    <d v="2026-04-30T00:00:00"/>
    <s v="Thursday"/>
  </r>
  <r>
    <s v="TX1422"/>
    <x v="78"/>
    <x v="6"/>
    <x v="0"/>
    <x v="0"/>
    <x v="0"/>
    <n v="1"/>
    <s v="Tamamlandı"/>
    <n v="558752144"/>
    <s v="AV-1422"/>
    <s v="Aysel-Sumqayit Filialina çardırılma"/>
    <n v="1200"/>
    <n v="1800"/>
    <x v="11"/>
    <n v="600"/>
    <s v="0%"/>
    <d v="2026-03-31T00:00:00"/>
    <s v="Monday"/>
  </r>
  <r>
    <s v="TX1423"/>
    <x v="133"/>
    <x v="2"/>
    <x v="3"/>
    <x v="3"/>
    <x v="1"/>
    <n v="7"/>
    <s v="Tamamlandı"/>
    <n v="550727123"/>
    <s v="MI-1423"/>
    <s v="Murad-Gəncə Filialina çardırılma"/>
    <n v="600"/>
    <n v="950"/>
    <x v="17"/>
    <n v="2450"/>
    <s v="0%"/>
    <s v=""/>
    <s v="Thursday"/>
  </r>
  <r>
    <s v="TX1424"/>
    <x v="103"/>
    <x v="2"/>
    <x v="1"/>
    <x v="1"/>
    <x v="2"/>
    <n v="8"/>
    <s v="Tamamlandı"/>
    <n v="501745130"/>
    <s v="MI-1424"/>
    <s v="Murad-Bakı Filialina çardırılma"/>
    <n v="15"/>
    <n v="45"/>
    <x v="14"/>
    <n v="240"/>
    <n v="40.5"/>
    <s v=""/>
    <s v="Wednesday"/>
  </r>
  <r>
    <s v="TX1425"/>
    <x v="143"/>
    <x v="1"/>
    <x v="0"/>
    <x v="2"/>
    <x v="2"/>
    <n v="6"/>
    <s v="Tamamlandı"/>
    <n v="515654308"/>
    <s v="ZM-1425"/>
    <s v="Zaur-Gence Filialina çardırılma"/>
    <n v="1200"/>
    <n v="1800"/>
    <x v="3"/>
    <n v="3600"/>
    <n v="1620"/>
    <s v=""/>
    <s v="Wednesday"/>
  </r>
  <r>
    <s v="TX1426"/>
    <x v="124"/>
    <x v="2"/>
    <x v="2"/>
    <x v="1"/>
    <x v="2"/>
    <n v="9"/>
    <s v="Tamamlandı"/>
    <n v="500406301"/>
    <s v="MI-1426"/>
    <s v="Murad-Baki Filialina çardırılma"/>
    <n v="400"/>
    <n v="650"/>
    <x v="33"/>
    <n v="2250"/>
    <n v="585"/>
    <s v=""/>
    <s v="Saturday"/>
  </r>
  <r>
    <s v="TX1427"/>
    <x v="68"/>
    <x v="2"/>
    <x v="3"/>
    <x v="1"/>
    <x v="0"/>
    <n v="7"/>
    <s v="Tamamlandı"/>
    <n v="777694188"/>
    <s v="MI-1427"/>
    <s v="Murad-Bakı Filialina çardırılma"/>
    <n v="600"/>
    <n v="950"/>
    <x v="17"/>
    <n v="2450"/>
    <s v="0%"/>
    <d v="2026-02-28T00:00:00"/>
    <s v="Thursday"/>
  </r>
  <r>
    <s v="TX1428"/>
    <x v="137"/>
    <x v="6"/>
    <x v="0"/>
    <x v="3"/>
    <x v="2"/>
    <n v="9"/>
    <s v="Tamamlandı"/>
    <n v="703207549"/>
    <s v="AV-1428"/>
    <s v="Aysel-Gəncə Filialina çardırılma"/>
    <n v="1200"/>
    <n v="1800"/>
    <x v="35"/>
    <n v="5400"/>
    <n v="1620"/>
    <s v=""/>
    <s v="Friday"/>
  </r>
  <r>
    <s v="TX1429"/>
    <x v="109"/>
    <x v="0"/>
    <x v="3"/>
    <x v="3"/>
    <x v="2"/>
    <n v="10"/>
    <s v="Tamamlandı"/>
    <n v="703424734"/>
    <s v="RH-1429"/>
    <s v="Ramil-Gəncə Filialina çardırılma"/>
    <n v="600"/>
    <n v="950"/>
    <x v="8"/>
    <n v="3500"/>
    <n v="855"/>
    <s v=""/>
    <s v="Thursday"/>
  </r>
  <r>
    <s v="TX1430"/>
    <x v="106"/>
    <x v="6"/>
    <x v="1"/>
    <x v="3"/>
    <x v="2"/>
    <n v="4"/>
    <s v="Tamamlandı"/>
    <n v="506502429"/>
    <s v="AV-1430"/>
    <s v="Aysel-Gəncə Filialina çardırılma"/>
    <n v="15"/>
    <n v="45"/>
    <x v="22"/>
    <n v="120"/>
    <s v="0%"/>
    <s v=""/>
    <s v="Thursday"/>
  </r>
  <r>
    <s v="TX1431"/>
    <x v="58"/>
    <x v="2"/>
    <x v="2"/>
    <x v="1"/>
    <x v="2"/>
    <n v="8"/>
    <s v="Tamamlandı"/>
    <n v="550844694"/>
    <s v="MI-1431"/>
    <s v="Murad-Bakı Filialina çardırılma"/>
    <n v="400"/>
    <n v="650"/>
    <x v="23"/>
    <n v="2000"/>
    <n v="585"/>
    <s v=""/>
    <s v="Monday"/>
  </r>
  <r>
    <s v="TX1432"/>
    <x v="55"/>
    <x v="3"/>
    <x v="1"/>
    <x v="3"/>
    <x v="2"/>
    <n v="3"/>
    <s v="Tamamlandı"/>
    <n v="506151039"/>
    <s v="NM-1432"/>
    <s v="Nərgin-Gəncə Filialina çardırılma"/>
    <n v="15"/>
    <n v="45"/>
    <x v="5"/>
    <n v="90"/>
    <s v="0%"/>
    <s v=""/>
    <s v="Tuesday"/>
  </r>
  <r>
    <s v="TX1433"/>
    <x v="41"/>
    <x v="1"/>
    <x v="0"/>
    <x v="1"/>
    <x v="1"/>
    <n v="3"/>
    <s v="Tamamlandı"/>
    <n v="506746971"/>
    <s v="ZM-1433"/>
    <s v="Zaur-Baki Filialina çardırılma"/>
    <n v="1200"/>
    <n v="1800"/>
    <x v="4"/>
    <n v="1800"/>
    <s v="0%"/>
    <s v=""/>
    <s v="Monday"/>
  </r>
  <r>
    <s v="TX1434"/>
    <x v="101"/>
    <x v="7"/>
    <x v="1"/>
    <x v="1"/>
    <x v="0"/>
    <n v="9"/>
    <s v="Tamamlandı"/>
    <n v="513943194"/>
    <s v="LƏ-1434"/>
    <s v="Leyla-Baki Filialina çardırılma"/>
    <n v="15"/>
    <n v="45"/>
    <x v="30"/>
    <n v="270"/>
    <s v="0%"/>
    <d v="2026-05-31T00:00:00"/>
    <s v="Sunday"/>
  </r>
  <r>
    <s v="TX1435"/>
    <x v="34"/>
    <x v="6"/>
    <x v="0"/>
    <x v="3"/>
    <x v="0"/>
    <n v="10"/>
    <s v="Tamamlandı"/>
    <n v="771374058"/>
    <s v="AV-1435"/>
    <s v="Aysel-Gəncə Filialina çardırılma"/>
    <n v="1200"/>
    <n v="1800"/>
    <x v="25"/>
    <n v="6000"/>
    <s v="0%"/>
    <d v="2026-04-30T00:00:00"/>
    <s v="Wednesday"/>
  </r>
  <r>
    <s v="TX1436"/>
    <x v="87"/>
    <x v="2"/>
    <x v="2"/>
    <x v="0"/>
    <x v="2"/>
    <n v="1"/>
    <s v="Tamamlandı"/>
    <n v="559389784"/>
    <s v="MI-1436"/>
    <s v="Murad-Sumqayıt Filialina çardırılma"/>
    <n v="400"/>
    <n v="650"/>
    <x v="28"/>
    <n v="250"/>
    <s v="0%"/>
    <s v=""/>
    <s v="Wednesday"/>
  </r>
  <r>
    <s v="TX1437"/>
    <x v="55"/>
    <x v="2"/>
    <x v="1"/>
    <x v="1"/>
    <x v="0"/>
    <n v="4"/>
    <s v="Tamamlandı"/>
    <n v="704985094"/>
    <s v="MI-1437"/>
    <s v="Murad-Baki Filialina çardırılma"/>
    <n v="15"/>
    <n v="45"/>
    <x v="22"/>
    <n v="120"/>
    <s v="0%"/>
    <d v="2026-06-30T00:00:00"/>
    <s v="Tuesday"/>
  </r>
  <r>
    <s v="TX1438"/>
    <x v="22"/>
    <x v="0"/>
    <x v="1"/>
    <x v="0"/>
    <x v="2"/>
    <n v="8"/>
    <s v="Tamamlandı"/>
    <n v="511850104"/>
    <s v="RH-1438"/>
    <s v="Ramil-Sumqayıt Filialina çardırılma"/>
    <n v="15"/>
    <n v="45"/>
    <x v="14"/>
    <n v="240"/>
    <n v="40.5"/>
    <s v=""/>
    <s v="Tuesday"/>
  </r>
  <r>
    <s v="TX1439"/>
    <x v="134"/>
    <x v="5"/>
    <x v="1"/>
    <x v="2"/>
    <x v="0"/>
    <n v="10"/>
    <s v="Tamamlandı"/>
    <n v="770920532"/>
    <s v="ƏM-1439"/>
    <s v="Əli-Gence Filialina çardırılma"/>
    <n v="15"/>
    <n v="45"/>
    <x v="24"/>
    <n v="300"/>
    <s v="0%"/>
    <d v="2026-04-30T00:00:00"/>
    <s v="Wednesday"/>
  </r>
  <r>
    <s v="TX1440"/>
    <x v="129"/>
    <x v="1"/>
    <x v="3"/>
    <x v="0"/>
    <x v="2"/>
    <n v="10"/>
    <s v="Tamamlandı"/>
    <n v="500243417"/>
    <s v="ZM-1440"/>
    <s v="Zaur-Sumqayit Filialina çardırılma"/>
    <n v="600"/>
    <n v="950"/>
    <x v="8"/>
    <n v="3500"/>
    <n v="855"/>
    <s v=""/>
    <s v="Monday"/>
  </r>
  <r>
    <s v="TX1441"/>
    <x v="145"/>
    <x v="0"/>
    <x v="1"/>
    <x v="1"/>
    <x v="2"/>
    <n v="9"/>
    <s v="Tamamlandı"/>
    <n v="514427394"/>
    <s v="RH-1441"/>
    <s v="Ramil-Bakı Filialina çardırılma"/>
    <n v="15"/>
    <n v="45"/>
    <x v="30"/>
    <n v="270"/>
    <n v="40.5"/>
    <s v=""/>
    <s v="Thursday"/>
  </r>
  <r>
    <s v="TX1442"/>
    <x v="121"/>
    <x v="1"/>
    <x v="2"/>
    <x v="0"/>
    <x v="2"/>
    <n v="4"/>
    <s v="Tamamlandı"/>
    <n v="709903078"/>
    <s v="ZM-1442"/>
    <s v="Zaur-Sumqayit Filialina çardırılma"/>
    <n v="400"/>
    <n v="650"/>
    <x v="20"/>
    <n v="1000"/>
    <s v="0%"/>
    <s v=""/>
    <s v="Saturday"/>
  </r>
  <r>
    <s v="TX1443"/>
    <x v="14"/>
    <x v="2"/>
    <x v="3"/>
    <x v="2"/>
    <x v="2"/>
    <n v="4"/>
    <s v="Tamamlandı"/>
    <n v="778305923"/>
    <s v="MI-1443"/>
    <s v="Murad-Gence Filialina çardırılma"/>
    <n v="600"/>
    <n v="950"/>
    <x v="29"/>
    <n v="1400"/>
    <s v="0%"/>
    <s v=""/>
    <s v="Tuesday"/>
  </r>
  <r>
    <s v="TX1444"/>
    <x v="103"/>
    <x v="0"/>
    <x v="2"/>
    <x v="1"/>
    <x v="2"/>
    <n v="4"/>
    <s v="Tamamlandı"/>
    <n v="550900789"/>
    <s v="RH-1444"/>
    <s v="Ramil-Bakı Filialina çardırılma"/>
    <n v="400"/>
    <n v="650"/>
    <x v="20"/>
    <n v="1000"/>
    <s v="0%"/>
    <s v=""/>
    <s v="Wednesday"/>
  </r>
  <r>
    <s v="TX1445"/>
    <x v="99"/>
    <x v="0"/>
    <x v="3"/>
    <x v="0"/>
    <x v="2"/>
    <n v="10"/>
    <s v="Tamamlandı"/>
    <n v="503630010"/>
    <s v="RH-1445"/>
    <s v="Ramil-Sumqayıt Filialina çardırılma"/>
    <n v="600"/>
    <n v="950"/>
    <x v="8"/>
    <n v="3500"/>
    <n v="855"/>
    <s v=""/>
    <s v="Tuesday"/>
  </r>
  <r>
    <s v="TX1446"/>
    <x v="61"/>
    <x v="7"/>
    <x v="2"/>
    <x v="3"/>
    <x v="2"/>
    <n v="9"/>
    <s v="Tamamlandı"/>
    <n v="512584434"/>
    <s v="LƏ-1446"/>
    <s v="Leyla-Gəncə Filialina çardırılma"/>
    <n v="400"/>
    <n v="650"/>
    <x v="33"/>
    <n v="2250"/>
    <n v="585"/>
    <s v=""/>
    <s v="Saturday"/>
  </r>
  <r>
    <s v="TX1447"/>
    <x v="109"/>
    <x v="5"/>
    <x v="2"/>
    <x v="0"/>
    <x v="0"/>
    <n v="5"/>
    <s v="Tamamlandı"/>
    <n v="556813214"/>
    <s v="ƏM-1447"/>
    <s v="Əli-Sumqayit Filialina çardırılma"/>
    <n v="400"/>
    <n v="650"/>
    <x v="12"/>
    <n v="1250"/>
    <s v="0%"/>
    <d v="2026-04-30T00:00:00"/>
    <s v="Thursday"/>
  </r>
  <r>
    <s v="TX1448"/>
    <x v="109"/>
    <x v="3"/>
    <x v="3"/>
    <x v="3"/>
    <x v="2"/>
    <n v="4"/>
    <s v="Tamamlandı"/>
    <n v="506247828"/>
    <s v="NM-1448"/>
    <s v="Nərgin-Gəncə Filialina çardırılma"/>
    <n v="600"/>
    <n v="950"/>
    <x v="29"/>
    <n v="1400"/>
    <s v="0%"/>
    <s v=""/>
    <s v="Thursday"/>
  </r>
  <r>
    <s v="TX1449"/>
    <x v="117"/>
    <x v="2"/>
    <x v="3"/>
    <x v="1"/>
    <x v="1"/>
    <n v="3"/>
    <s v="Tamamlandı"/>
    <n v="515095607"/>
    <s v="MI-1449"/>
    <s v="Murad-Baki Filialina çardırılma"/>
    <n v="600"/>
    <n v="950"/>
    <x v="18"/>
    <n v="1050"/>
    <s v="0%"/>
    <s v=""/>
    <s v="Wednesday"/>
  </r>
  <r>
    <s v="TX1450"/>
    <x v="146"/>
    <x v="0"/>
    <x v="3"/>
    <x v="1"/>
    <x v="0"/>
    <n v="4"/>
    <s v="Tamamlandı"/>
    <n v="503815931"/>
    <s v="RH-1450"/>
    <s v="Ramil-Bakı Filialina çardırılma"/>
    <n v="600"/>
    <n v="950"/>
    <x v="29"/>
    <n v="1400"/>
    <s v="0%"/>
    <d v="2026-02-28T00:00:00"/>
    <s v="Tuesday"/>
  </r>
  <r>
    <s v="TX1451"/>
    <x v="35"/>
    <x v="2"/>
    <x v="0"/>
    <x v="1"/>
    <x v="2"/>
    <n v="6"/>
    <s v="Tamamlandı"/>
    <n v="559617889"/>
    <s v="MI-1451"/>
    <s v="Murad-Bakı Filialina çardırılma"/>
    <n v="1200"/>
    <n v="1800"/>
    <x v="3"/>
    <n v="3600"/>
    <n v="1620"/>
    <s v=""/>
    <s v="Friday"/>
  </r>
  <r>
    <s v="TX1452"/>
    <x v="28"/>
    <x v="4"/>
    <x v="3"/>
    <x v="3"/>
    <x v="2"/>
    <n v="10"/>
    <s v="Tamamlandı"/>
    <n v="505567730"/>
    <s v="EQ-1452"/>
    <s v="Elnur-Gəncə Filialina çardırılma"/>
    <n v="600"/>
    <n v="950"/>
    <x v="8"/>
    <n v="3500"/>
    <n v="855"/>
    <s v=""/>
    <s v="Sunday"/>
  </r>
  <r>
    <s v="TX1453"/>
    <x v="76"/>
    <x v="6"/>
    <x v="1"/>
    <x v="0"/>
    <x v="0"/>
    <n v="4"/>
    <s v="Tamamlandı"/>
    <n v="513950649"/>
    <s v="AV-1453"/>
    <s v="Aysel-Sumqayıt Filialina çardırılma"/>
    <n v="15"/>
    <n v="45"/>
    <x v="22"/>
    <n v="120"/>
    <s v="0%"/>
    <d v="2026-04-30T00:00:00"/>
    <s v="Thursday"/>
  </r>
  <r>
    <s v="TX1454"/>
    <x v="101"/>
    <x v="1"/>
    <x v="1"/>
    <x v="2"/>
    <x v="0"/>
    <n v="1"/>
    <s v="Tamamlandı"/>
    <n v="501976713"/>
    <s v="ZM-1454"/>
    <s v="Zaur-Gence Filialina çardırılma"/>
    <n v="15"/>
    <n v="45"/>
    <x v="2"/>
    <n v="30"/>
    <s v="0%"/>
    <d v="2026-05-31T00:00:00"/>
    <s v="Sunday"/>
  </r>
  <r>
    <s v="TX1455"/>
    <x v="34"/>
    <x v="5"/>
    <x v="1"/>
    <x v="4"/>
    <x v="2"/>
    <n v="6"/>
    <s v="Tamamlandı"/>
    <n v="519525422"/>
    <s v="ƏM-1455"/>
    <s v="Əli-Naməlum Filialina çardırılma"/>
    <n v="15"/>
    <n v="45"/>
    <x v="31"/>
    <n v="180"/>
    <n v="40.5"/>
    <s v=""/>
    <s v="Wednesday"/>
  </r>
  <r>
    <s v="TX1456"/>
    <x v="69"/>
    <x v="6"/>
    <x v="3"/>
    <x v="0"/>
    <x v="1"/>
    <n v="6"/>
    <s v="Tamamlandı"/>
    <n v="707640944"/>
    <s v="AV-1456"/>
    <s v="Aysel-Sumqayıt Filialina çardırılma"/>
    <n v="600"/>
    <n v="950"/>
    <x v="15"/>
    <n v="2100"/>
    <s v="0%"/>
    <s v=""/>
    <s v="Wednesday"/>
  </r>
  <r>
    <s v="TX1457"/>
    <x v="143"/>
    <x v="1"/>
    <x v="0"/>
    <x v="1"/>
    <x v="2"/>
    <n v="9"/>
    <s v="Tamamlandı"/>
    <n v="507081545"/>
    <s v="ZM-1457"/>
    <s v="Zaur-Bakı Filialina çardırılma"/>
    <n v="1200"/>
    <n v="1800"/>
    <x v="35"/>
    <n v="5400"/>
    <n v="1620"/>
    <s v=""/>
    <s v="Wednesday"/>
  </r>
  <r>
    <s v="TX1458"/>
    <x v="2"/>
    <x v="0"/>
    <x v="3"/>
    <x v="3"/>
    <x v="2"/>
    <n v="1"/>
    <s v="Tamamlandı"/>
    <n v="513042658"/>
    <s v="RH-1458"/>
    <s v="Ramil-Gəncə Filialina çardırılma"/>
    <n v="600"/>
    <n v="950"/>
    <x v="16"/>
    <n v="350"/>
    <s v="0%"/>
    <s v=""/>
    <s v="Tuesday"/>
  </r>
  <r>
    <s v="TX1459"/>
    <x v="45"/>
    <x v="7"/>
    <x v="3"/>
    <x v="0"/>
    <x v="2"/>
    <n v="6"/>
    <s v="Tamamlandı"/>
    <n v="512350025"/>
    <s v="LƏ-1459"/>
    <s v="Leyla-Sumqayit Filialina çardırılma"/>
    <n v="600"/>
    <n v="950"/>
    <x v="15"/>
    <n v="2100"/>
    <n v="855"/>
    <s v=""/>
    <s v="Wednesday"/>
  </r>
  <r>
    <s v="TX1460"/>
    <x v="133"/>
    <x v="0"/>
    <x v="3"/>
    <x v="0"/>
    <x v="2"/>
    <n v="6"/>
    <s v="Tamamlandı"/>
    <n v="517407030"/>
    <s v="RH-1460"/>
    <s v="Ramil-Sumqayıt Filialina çardırılma"/>
    <n v="600"/>
    <n v="950"/>
    <x v="15"/>
    <n v="2100"/>
    <n v="855"/>
    <s v=""/>
    <s v="Thursday"/>
  </r>
  <r>
    <s v="TX1461"/>
    <x v="117"/>
    <x v="5"/>
    <x v="0"/>
    <x v="2"/>
    <x v="0"/>
    <n v="4"/>
    <s v="Tamamlandı"/>
    <n v="557618943"/>
    <s v="ƏM-1461"/>
    <s v="Əli-Gence Filialina çardırılma"/>
    <n v="1200"/>
    <n v="1800"/>
    <x v="27"/>
    <n v="2400"/>
    <s v="0%"/>
    <d v="2026-05-31T00:00:00"/>
    <s v="Wednesday"/>
  </r>
  <r>
    <s v="TX1462"/>
    <x v="38"/>
    <x v="6"/>
    <x v="3"/>
    <x v="2"/>
    <x v="2"/>
    <n v="3"/>
    <s v="Tamamlandı"/>
    <n v="513842721"/>
    <s v="AV-1462"/>
    <s v="Aysel-Gence Filialina çardırılma"/>
    <n v="600"/>
    <n v="950"/>
    <x v="18"/>
    <n v="1050"/>
    <s v="0%"/>
    <s v=""/>
    <s v="Saturday"/>
  </r>
  <r>
    <s v="TX1463"/>
    <x v="20"/>
    <x v="0"/>
    <x v="3"/>
    <x v="2"/>
    <x v="1"/>
    <n v="1"/>
    <s v="Tamamlandı"/>
    <n v="511369080"/>
    <s v="RH-1463"/>
    <s v="Ramil-Gence Filialina çardırılma"/>
    <n v="600"/>
    <n v="950"/>
    <x v="16"/>
    <n v="350"/>
    <s v="0%"/>
    <s v=""/>
    <s v="Wednesday"/>
  </r>
  <r>
    <s v="TX1464"/>
    <x v="138"/>
    <x v="7"/>
    <x v="3"/>
    <x v="1"/>
    <x v="1"/>
    <n v="7"/>
    <s v="Tamamlandı"/>
    <n v="503133782"/>
    <s v="LƏ-1464"/>
    <s v="Leyla-Bakı Filialina çardırılma"/>
    <n v="600"/>
    <n v="950"/>
    <x v="17"/>
    <n v="2450"/>
    <s v="0%"/>
    <s v=""/>
    <s v="Tuesday"/>
  </r>
  <r>
    <s v="TX1465"/>
    <x v="7"/>
    <x v="0"/>
    <x v="1"/>
    <x v="1"/>
    <x v="0"/>
    <n v="10"/>
    <s v="Tamamlandı"/>
    <n v="551439696"/>
    <s v="RH-1465"/>
    <s v="Ramil-Bakı Filialina çardırılma"/>
    <n v="15"/>
    <n v="45"/>
    <x v="24"/>
    <n v="300"/>
    <s v="0%"/>
    <d v="2026-05-31T00:00:00"/>
    <s v="Wednesday"/>
  </r>
  <r>
    <s v="TX1466"/>
    <x v="85"/>
    <x v="2"/>
    <x v="3"/>
    <x v="3"/>
    <x v="2"/>
    <n v="9"/>
    <s v="Tamamlandı"/>
    <n v="701351542"/>
    <s v="MI-1466"/>
    <s v="Murad-Gəncə Filialina çardırılma"/>
    <n v="600"/>
    <n v="950"/>
    <x v="10"/>
    <n v="3150"/>
    <n v="855"/>
    <s v=""/>
    <s v="Thursday"/>
  </r>
  <r>
    <s v="TX1467"/>
    <x v="69"/>
    <x v="4"/>
    <x v="0"/>
    <x v="0"/>
    <x v="1"/>
    <n v="7"/>
    <s v="Tamamlandı"/>
    <n v="555811180"/>
    <s v="EQ-1467"/>
    <s v="Elnur-Sumqayit Filialina çardırılma"/>
    <n v="1200"/>
    <n v="1800"/>
    <x v="9"/>
    <n v="4200"/>
    <s v="0%"/>
    <s v=""/>
    <s v="Wednesday"/>
  </r>
  <r>
    <s v="TX1468"/>
    <x v="106"/>
    <x v="2"/>
    <x v="2"/>
    <x v="0"/>
    <x v="2"/>
    <n v="8"/>
    <s v="Tamamlandı"/>
    <n v="510683190"/>
    <s v="MI-1468"/>
    <s v="Murad-Sumqayit Filialina çardırılma"/>
    <n v="400"/>
    <n v="650"/>
    <x v="23"/>
    <n v="2000"/>
    <n v="585"/>
    <s v=""/>
    <s v="Thursday"/>
  </r>
  <r>
    <s v="TX1469"/>
    <x v="49"/>
    <x v="1"/>
    <x v="1"/>
    <x v="2"/>
    <x v="2"/>
    <n v="2"/>
    <s v="Tamamlandı"/>
    <n v="704650396"/>
    <s v="ZM-1469"/>
    <s v="Zaur-Gence Filialina çardırılma"/>
    <n v="15"/>
    <n v="45"/>
    <x v="32"/>
    <n v="60"/>
    <s v="0%"/>
    <s v=""/>
    <s v="Saturday"/>
  </r>
  <r>
    <s v="TX1470"/>
    <x v="15"/>
    <x v="4"/>
    <x v="0"/>
    <x v="1"/>
    <x v="0"/>
    <n v="7"/>
    <s v="Tamamlandı"/>
    <n v="555048108"/>
    <s v="EQ-1470"/>
    <s v="Elnur-Bakı Filialina çardırılma"/>
    <n v="1200"/>
    <n v="1800"/>
    <x v="9"/>
    <n v="4200"/>
    <s v="0%"/>
    <d v="2026-05-31T00:00:00"/>
    <s v="Thursday"/>
  </r>
  <r>
    <s v="TX1471"/>
    <x v="1"/>
    <x v="0"/>
    <x v="3"/>
    <x v="1"/>
    <x v="0"/>
    <n v="7"/>
    <s v="Tamamlandı"/>
    <n v="517691235"/>
    <s v="RH-1471"/>
    <s v="Ramil-Baki Filialina çardırılma"/>
    <n v="600"/>
    <n v="950"/>
    <x v="17"/>
    <n v="2450"/>
    <s v="0%"/>
    <d v="2026-05-31T00:00:00"/>
    <s v="Sunday"/>
  </r>
  <r>
    <s v="TX1472"/>
    <x v="6"/>
    <x v="3"/>
    <x v="1"/>
    <x v="3"/>
    <x v="0"/>
    <n v="1"/>
    <s v="Tamamlandı"/>
    <n v="554548593"/>
    <s v="NM-1472"/>
    <s v="Nərgin-Gəncə Filialina çardırılma"/>
    <n v="15"/>
    <n v="45"/>
    <x v="2"/>
    <n v="30"/>
    <s v="0%"/>
    <d v="2026-05-31T00:00:00"/>
    <s v="Friday"/>
  </r>
  <r>
    <s v="TX1473"/>
    <x v="137"/>
    <x v="1"/>
    <x v="1"/>
    <x v="1"/>
    <x v="1"/>
    <n v="3"/>
    <s v="Tamamlandı"/>
    <n v="709128969"/>
    <s v="ZM-1473"/>
    <s v="Zaur-Bakı Filialina çardırılma"/>
    <n v="15"/>
    <n v="45"/>
    <x v="5"/>
    <n v="90"/>
    <s v="0%"/>
    <s v=""/>
    <s v="Friday"/>
  </r>
  <r>
    <s v="TX1474"/>
    <x v="15"/>
    <x v="3"/>
    <x v="3"/>
    <x v="1"/>
    <x v="1"/>
    <n v="7"/>
    <s v="Tamamlandı"/>
    <n v="510659152"/>
    <s v="NM-1474"/>
    <s v="Nərgin-Bakı Filialina çardırılma"/>
    <n v="600"/>
    <n v="950"/>
    <x v="17"/>
    <n v="2450"/>
    <s v="0%"/>
    <s v=""/>
    <s v="Thursday"/>
  </r>
  <r>
    <s v="TX1475"/>
    <x v="83"/>
    <x v="7"/>
    <x v="3"/>
    <x v="0"/>
    <x v="2"/>
    <n v="4"/>
    <s v="Tamamlandı"/>
    <n v="559797937"/>
    <s v="LƏ-1475"/>
    <s v="Leyla-Sumqayit Filialina çardırılma"/>
    <n v="600"/>
    <n v="950"/>
    <x v="29"/>
    <n v="1400"/>
    <s v="0%"/>
    <s v=""/>
    <s v="Friday"/>
  </r>
  <r>
    <s v="TX1476"/>
    <x v="15"/>
    <x v="3"/>
    <x v="3"/>
    <x v="0"/>
    <x v="2"/>
    <n v="7"/>
    <s v="Tamamlandı"/>
    <n v="559089067"/>
    <s v="NM-1476"/>
    <s v="Nərgin-Sumqayıt Filialina çardırılma"/>
    <n v="600"/>
    <n v="950"/>
    <x v="17"/>
    <n v="2450"/>
    <n v="855"/>
    <s v=""/>
    <s v="Thursday"/>
  </r>
  <r>
    <s v="TX1477"/>
    <x v="67"/>
    <x v="6"/>
    <x v="0"/>
    <x v="0"/>
    <x v="0"/>
    <n v="10"/>
    <s v="Tamamlandı"/>
    <n v="501182422"/>
    <s v="AV-1477"/>
    <s v="Aysel-Sumqayıt Filialina çardırılma"/>
    <n v="1200"/>
    <n v="1800"/>
    <x v="25"/>
    <n v="6000"/>
    <s v="0%"/>
    <d v="2026-02-28T00:00:00"/>
    <s v="Monday"/>
  </r>
  <r>
    <s v="TX1478"/>
    <x v="29"/>
    <x v="0"/>
    <x v="3"/>
    <x v="3"/>
    <x v="0"/>
    <n v="6"/>
    <s v="Tamamlandı"/>
    <n v="507534300"/>
    <s v="RH-1478"/>
    <s v="Ramil-Gəncə Filialina çardırılma"/>
    <n v="600"/>
    <n v="950"/>
    <x v="15"/>
    <n v="2100"/>
    <s v="0%"/>
    <d v="2026-05-31T00:00:00"/>
    <s v="Monday"/>
  </r>
  <r>
    <s v="TX1479"/>
    <x v="30"/>
    <x v="3"/>
    <x v="0"/>
    <x v="0"/>
    <x v="2"/>
    <n v="6"/>
    <s v="Tamamlandı"/>
    <n v="505370556"/>
    <s v="NM-1479"/>
    <s v="Nərgin-Sumqayit Filialina çardırılma"/>
    <n v="1200"/>
    <n v="1800"/>
    <x v="3"/>
    <n v="3600"/>
    <n v="1620"/>
    <s v=""/>
    <s v="Tuesday"/>
  </r>
  <r>
    <s v="TX1480"/>
    <x v="100"/>
    <x v="6"/>
    <x v="3"/>
    <x v="1"/>
    <x v="3"/>
    <n v="4"/>
    <s v="Tamamlandı"/>
    <n v="551031528"/>
    <s v="AV-1480"/>
    <s v="Aysel-Bakı Filialina çardırılma"/>
    <n v="600"/>
    <n v="950"/>
    <x v="29"/>
    <n v="1400"/>
    <s v="0%"/>
    <s v=""/>
    <s v="Tuesday"/>
  </r>
  <r>
    <s v="TX1481"/>
    <x v="96"/>
    <x v="3"/>
    <x v="0"/>
    <x v="2"/>
    <x v="0"/>
    <n v="7"/>
    <s v="Tamamlandı"/>
    <n v="518575766"/>
    <s v="NM-1481"/>
    <s v="Nərgin-Gence Filialina çardırılma"/>
    <n v="1200"/>
    <n v="1800"/>
    <x v="9"/>
    <n v="4200"/>
    <s v="0%"/>
    <d v="2026-03-31T00:00:00"/>
    <s v="Thursday"/>
  </r>
  <r>
    <s v="TX1482"/>
    <x v="81"/>
    <x v="2"/>
    <x v="1"/>
    <x v="0"/>
    <x v="2"/>
    <n v="4"/>
    <s v="Tamamlandı"/>
    <n v="516297246"/>
    <s v="MI-1482"/>
    <s v="Murad-Sumqayıt Filialina çardırılma"/>
    <n v="15"/>
    <n v="45"/>
    <x v="22"/>
    <n v="120"/>
    <s v="0%"/>
    <s v=""/>
    <s v="Sunday"/>
  </r>
  <r>
    <s v="TX1483"/>
    <x v="147"/>
    <x v="6"/>
    <x v="3"/>
    <x v="2"/>
    <x v="2"/>
    <n v="4"/>
    <s v="Tamamlandı"/>
    <n v="558947332"/>
    <s v="AV-1483"/>
    <s v="Aysel-Gence Filialina çardırılma"/>
    <n v="600"/>
    <n v="950"/>
    <x v="29"/>
    <n v="1400"/>
    <s v="0%"/>
    <s v=""/>
    <s v="Thursday"/>
  </r>
  <r>
    <s v="TX1484"/>
    <x v="68"/>
    <x v="1"/>
    <x v="1"/>
    <x v="0"/>
    <x v="0"/>
    <n v="7"/>
    <s v="Tamamlandı"/>
    <n v="774030729"/>
    <s v="ZM-1484"/>
    <s v="Zaur-Sumqayıt Filialina çardırılma"/>
    <n v="15"/>
    <n v="45"/>
    <x v="34"/>
    <n v="210"/>
    <s v="0%"/>
    <d v="2026-02-28T00:00:00"/>
    <s v="Thursday"/>
  </r>
  <r>
    <s v="TX1485"/>
    <x v="118"/>
    <x v="6"/>
    <x v="0"/>
    <x v="2"/>
    <x v="0"/>
    <n v="5"/>
    <s v="Tamamlandı"/>
    <n v="551696062"/>
    <s v="AV-1485"/>
    <s v="Aysel-Gence Filialina çardırılma"/>
    <n v="1200"/>
    <n v="1800"/>
    <x v="19"/>
    <n v="3000"/>
    <s v="0%"/>
    <d v="2026-05-31T00:00:00"/>
    <s v="Saturday"/>
  </r>
  <r>
    <s v="TX1486"/>
    <x v="110"/>
    <x v="5"/>
    <x v="0"/>
    <x v="1"/>
    <x v="2"/>
    <n v="6"/>
    <s v="Tamamlandı"/>
    <n v="511821611"/>
    <s v="ƏM-1486"/>
    <s v="Əli-Baki Filialina çardırılma"/>
    <n v="1200"/>
    <n v="1800"/>
    <x v="3"/>
    <n v="3600"/>
    <n v="1620"/>
    <s v=""/>
    <s v="Saturday"/>
  </r>
  <r>
    <s v="TX1487"/>
    <x v="12"/>
    <x v="5"/>
    <x v="1"/>
    <x v="2"/>
    <x v="0"/>
    <n v="3"/>
    <s v="Tamamlandı"/>
    <n v="505407543"/>
    <s v="ƏM-1487"/>
    <s v="Əli-Gence Filialina çardırılma"/>
    <n v="15"/>
    <n v="45"/>
    <x v="5"/>
    <n v="90"/>
    <s v="0%"/>
    <d v="2026-04-30T00:00:00"/>
    <s v="Monday"/>
  </r>
  <r>
    <s v="TX1488"/>
    <x v="18"/>
    <x v="6"/>
    <x v="3"/>
    <x v="2"/>
    <x v="2"/>
    <n v="6"/>
    <s v="Tamamlandı"/>
    <n v="772158761"/>
    <s v="AV-1488"/>
    <s v="Aysel-Gence Filialina çardırılma"/>
    <n v="600"/>
    <n v="950"/>
    <x v="15"/>
    <n v="2100"/>
    <n v="855"/>
    <s v=""/>
    <s v="Saturday"/>
  </r>
  <r>
    <s v="TX1489"/>
    <x v="49"/>
    <x v="2"/>
    <x v="1"/>
    <x v="2"/>
    <x v="0"/>
    <n v="6"/>
    <s v="Tamamlandı"/>
    <n v="776192553"/>
    <s v="MI-1489"/>
    <s v="Murad-Gence Filialina çardırılma"/>
    <n v="15"/>
    <n v="45"/>
    <x v="31"/>
    <n v="180"/>
    <s v="0%"/>
    <d v="2026-01-31T00:00:00"/>
    <s v="Saturday"/>
  </r>
  <r>
    <s v="TX1490"/>
    <x v="63"/>
    <x v="6"/>
    <x v="2"/>
    <x v="4"/>
    <x v="1"/>
    <n v="2"/>
    <s v="Tamamlandı"/>
    <n v="777509819"/>
    <s v="AV-1490"/>
    <s v="Aysel-Naməlum Filialina çardırılma"/>
    <n v="400"/>
    <n v="650"/>
    <x v="36"/>
    <n v="500"/>
    <s v="0%"/>
    <s v=""/>
    <s v="Tuesday"/>
  </r>
  <r>
    <s v="TX1491"/>
    <x v="107"/>
    <x v="7"/>
    <x v="3"/>
    <x v="0"/>
    <x v="0"/>
    <n v="8"/>
    <s v="Tamamlandı"/>
    <n v="558614901"/>
    <s v="LƏ-1491"/>
    <s v="Leyla-Sumqayıt Filialina çardırılma"/>
    <n v="600"/>
    <n v="950"/>
    <x v="7"/>
    <n v="2800"/>
    <s v="0%"/>
    <d v="2026-04-30T00:00:00"/>
    <s v="Tuesday"/>
  </r>
  <r>
    <s v="TX1492"/>
    <x v="5"/>
    <x v="4"/>
    <x v="1"/>
    <x v="2"/>
    <x v="0"/>
    <n v="2"/>
    <s v="Tamamlandı"/>
    <n v="506166665"/>
    <s v="EQ-1492"/>
    <s v="Elnur-Gence Filialina çardırılma"/>
    <n v="15"/>
    <n v="45"/>
    <x v="32"/>
    <n v="60"/>
    <s v="0%"/>
    <d v="2026-01-31T00:00:00"/>
    <s v="Wednesday"/>
  </r>
  <r>
    <s v="TX1493"/>
    <x v="70"/>
    <x v="0"/>
    <x v="1"/>
    <x v="3"/>
    <x v="2"/>
    <n v="3"/>
    <s v="Tamamlandı"/>
    <n v="709665474"/>
    <s v="RH-1493"/>
    <s v="Ramil-Gəncə Filialina çardırılma"/>
    <n v="15"/>
    <n v="45"/>
    <x v="5"/>
    <n v="90"/>
    <s v="0%"/>
    <s v=""/>
    <s v="Thursday"/>
  </r>
  <r>
    <s v="TX1494"/>
    <x v="144"/>
    <x v="3"/>
    <x v="2"/>
    <x v="2"/>
    <x v="0"/>
    <n v="6"/>
    <s v="Tamamlandı"/>
    <n v="512414630"/>
    <s v="NM-1494"/>
    <s v="Nərgin-Gence Filialina çardırılma"/>
    <n v="400"/>
    <n v="650"/>
    <x v="37"/>
    <n v="1500"/>
    <s v="0%"/>
    <d v="2026-05-31T00:00:00"/>
    <s v="Monday"/>
  </r>
  <r>
    <s v="TX1495"/>
    <x v="19"/>
    <x v="7"/>
    <x v="3"/>
    <x v="2"/>
    <x v="2"/>
    <n v="2"/>
    <s v="Tamamlandı"/>
    <n v="518015203"/>
    <s v="LƏ-1495"/>
    <s v="Leyla-Gence Filialina çardırılma"/>
    <n v="600"/>
    <n v="950"/>
    <x v="21"/>
    <n v="700"/>
    <s v="0%"/>
    <s v=""/>
    <s v="Sunday"/>
  </r>
  <r>
    <s v="TX1496"/>
    <x v="89"/>
    <x v="7"/>
    <x v="0"/>
    <x v="1"/>
    <x v="2"/>
    <n v="9"/>
    <s v="Tamamlandı"/>
    <n v="772421920"/>
    <s v="LƏ-1496"/>
    <s v="Leyla-Bakı Filialina çardırılma"/>
    <n v="1200"/>
    <n v="1800"/>
    <x v="35"/>
    <n v="5400"/>
    <n v="1620"/>
    <s v=""/>
    <s v="Sunday"/>
  </r>
  <r>
    <s v="TX1497"/>
    <x v="71"/>
    <x v="2"/>
    <x v="3"/>
    <x v="0"/>
    <x v="2"/>
    <n v="2"/>
    <s v="Tamamlandı"/>
    <n v="703943005"/>
    <s v="MI-1497"/>
    <s v="Murad-Sumqayıt Filialina çardırılma"/>
    <n v="600"/>
    <n v="950"/>
    <x v="21"/>
    <n v="700"/>
    <s v="0%"/>
    <s v=""/>
    <s v="Monday"/>
  </r>
  <r>
    <s v="TX1498"/>
    <x v="63"/>
    <x v="4"/>
    <x v="0"/>
    <x v="2"/>
    <x v="1"/>
    <n v="6"/>
    <s v="Tamamlandı"/>
    <n v="704380283"/>
    <s v="EQ-1498"/>
    <s v="Elnur-Gence Filialina çardırılma"/>
    <n v="1200"/>
    <n v="1800"/>
    <x v="3"/>
    <n v="3600"/>
    <s v="0%"/>
    <s v=""/>
    <s v="Tuesday"/>
  </r>
  <r>
    <s v="TX1499"/>
    <x v="28"/>
    <x v="5"/>
    <x v="2"/>
    <x v="1"/>
    <x v="0"/>
    <n v="8"/>
    <s v="Tamamlandı"/>
    <n v="558192076"/>
    <s v="ƏM-1499"/>
    <s v="Əli-Baki Filialina çardırılma"/>
    <n v="400"/>
    <n v="650"/>
    <x v="23"/>
    <n v="2000"/>
    <s v="0%"/>
    <d v="2026-01-31T00:00:00"/>
    <s v="Sunday"/>
  </r>
  <r>
    <s v="TX1500"/>
    <x v="22"/>
    <x v="4"/>
    <x v="0"/>
    <x v="0"/>
    <x v="2"/>
    <n v="1"/>
    <s v="Tamamlandı"/>
    <n v="550138220"/>
    <s v="EQ-1500"/>
    <s v="Elnur-Sumqayıt Filialina çardırılma"/>
    <n v="1200"/>
    <n v="1800"/>
    <x v="11"/>
    <n v="600"/>
    <s v="0%"/>
    <s v=""/>
    <s v="Tuesday"/>
  </r>
  <r>
    <s v="TX1501"/>
    <x v="126"/>
    <x v="4"/>
    <x v="0"/>
    <x v="0"/>
    <x v="2"/>
    <n v="7"/>
    <s v="Tamamlandı"/>
    <n v="700314844"/>
    <s v="EQ-1501"/>
    <s v="Elnur-Sumqayıt Filialina çardırılma"/>
    <n v="1200"/>
    <n v="1800"/>
    <x v="9"/>
    <n v="4200"/>
    <n v="1620"/>
    <s v=""/>
    <s v="Friday"/>
  </r>
  <r>
    <s v="TX1502"/>
    <x v="89"/>
    <x v="6"/>
    <x v="3"/>
    <x v="0"/>
    <x v="2"/>
    <n v="6"/>
    <s v="Tamamlandı"/>
    <n v="776150389"/>
    <s v="AV-1502"/>
    <s v="Aysel-Sumqayıt Filialina çardırılma"/>
    <n v="600"/>
    <n v="950"/>
    <x v="15"/>
    <n v="2100"/>
    <n v="855"/>
    <s v=""/>
    <s v="Sunday"/>
  </r>
  <r>
    <s v="TX1503"/>
    <x v="1"/>
    <x v="3"/>
    <x v="2"/>
    <x v="0"/>
    <x v="0"/>
    <n v="4"/>
    <s v="Tamamlandı"/>
    <n v="500831809"/>
    <s v="NM-1503"/>
    <s v="Nərgin-Sumqayıt Filialina çardırılma"/>
    <n v="400"/>
    <n v="650"/>
    <x v="20"/>
    <n v="1000"/>
    <s v="0%"/>
    <d v="2026-05-31T00:00:00"/>
    <s v="Sunday"/>
  </r>
  <r>
    <s v="TX1504"/>
    <x v="31"/>
    <x v="1"/>
    <x v="2"/>
    <x v="2"/>
    <x v="1"/>
    <n v="7"/>
    <s v="Tamamlandı"/>
    <n v="554861333"/>
    <s v="ZM-1504"/>
    <s v="Zaur-Gence Filialina çardırılma"/>
    <n v="400"/>
    <n v="650"/>
    <x v="39"/>
    <n v="1750"/>
    <s v="0%"/>
    <s v=""/>
    <s v="Thursday"/>
  </r>
  <r>
    <s v="TX1505"/>
    <x v="28"/>
    <x v="4"/>
    <x v="3"/>
    <x v="0"/>
    <x v="0"/>
    <n v="4"/>
    <s v="Tamamlandı"/>
    <n v="701806223"/>
    <s v="EQ-1505"/>
    <s v="Elnur-Sumqayıt Filialina çardırılma"/>
    <n v="600"/>
    <n v="950"/>
    <x v="29"/>
    <n v="1400"/>
    <s v="0%"/>
    <d v="2026-01-31T00:00:00"/>
    <s v="Sunday"/>
  </r>
  <r>
    <s v="TX1506"/>
    <x v="67"/>
    <x v="7"/>
    <x v="2"/>
    <x v="1"/>
    <x v="2"/>
    <n v="3"/>
    <s v="Tamamlandı"/>
    <n v="701628988"/>
    <s v="LƏ-1506"/>
    <s v="Leyla-Baki Filialina çardırılma"/>
    <n v="400"/>
    <n v="650"/>
    <x v="38"/>
    <n v="750"/>
    <s v="0%"/>
    <s v=""/>
    <s v="Monday"/>
  </r>
  <r>
    <s v="TX1507"/>
    <x v="19"/>
    <x v="6"/>
    <x v="1"/>
    <x v="0"/>
    <x v="0"/>
    <n v="10"/>
    <s v="Tamamlandı"/>
    <n v="779189600"/>
    <s v="AV-1507"/>
    <s v="Aysel-Sumqayıt Filialina çardırılma"/>
    <n v="15"/>
    <n v="45"/>
    <x v="24"/>
    <n v="300"/>
    <s v="0%"/>
    <d v="2026-01-31T00:00:00"/>
    <s v="Sunday"/>
  </r>
  <r>
    <s v="TX1508"/>
    <x v="116"/>
    <x v="5"/>
    <x v="0"/>
    <x v="1"/>
    <x v="0"/>
    <n v="4"/>
    <s v="Tamamlandı"/>
    <n v="552030339"/>
    <s v="ƏM-1508"/>
    <s v="Əli-Bakı Filialina çardırılma"/>
    <n v="1200"/>
    <n v="1800"/>
    <x v="27"/>
    <n v="2400"/>
    <s v="0%"/>
    <d v="2026-03-31T00:00:00"/>
    <s v="Saturday"/>
  </r>
  <r>
    <s v="TX1509"/>
    <x v="140"/>
    <x v="6"/>
    <x v="2"/>
    <x v="3"/>
    <x v="0"/>
    <n v="9"/>
    <s v="Tamamlandı"/>
    <n v="775880996"/>
    <s v="AV-1509"/>
    <s v="Aysel-Gəncə Filialina çardırılma"/>
    <n v="400"/>
    <n v="650"/>
    <x v="33"/>
    <n v="2250"/>
    <s v="0%"/>
    <d v="2026-05-31T00:00:00"/>
    <s v="Monday"/>
  </r>
  <r>
    <s v="TX1510"/>
    <x v="133"/>
    <x v="5"/>
    <x v="2"/>
    <x v="2"/>
    <x v="1"/>
    <n v="10"/>
    <s v="Tamamlandı"/>
    <n v="554218822"/>
    <s v="ƏM-1510"/>
    <s v="Əli-Gence Filialina çardırılma"/>
    <n v="400"/>
    <n v="650"/>
    <x v="6"/>
    <n v="2500"/>
    <s v="0%"/>
    <s v=""/>
    <s v="Thursday"/>
  </r>
  <r>
    <s v="TX1511"/>
    <x v="37"/>
    <x v="4"/>
    <x v="1"/>
    <x v="0"/>
    <x v="2"/>
    <n v="10"/>
    <s v="Tamamlandı"/>
    <n v="559452683"/>
    <s v="EQ-1511"/>
    <s v="Elnur-Sumqayit Filialina çardırılma"/>
    <n v="15"/>
    <n v="45"/>
    <x v="24"/>
    <n v="300"/>
    <n v="40.5"/>
    <s v=""/>
    <s v="Tuesday"/>
  </r>
  <r>
    <s v="TX1512"/>
    <x v="93"/>
    <x v="5"/>
    <x v="1"/>
    <x v="2"/>
    <x v="1"/>
    <n v="5"/>
    <s v="Tamamlandı"/>
    <n v="708524552"/>
    <s v="ƏM-1512"/>
    <s v="Əli-Gence Filialina çardırılma"/>
    <n v="15"/>
    <n v="45"/>
    <x v="1"/>
    <n v="150"/>
    <s v="0%"/>
    <s v=""/>
    <s v="Monday"/>
  </r>
  <r>
    <s v="TX1513"/>
    <x v="102"/>
    <x v="3"/>
    <x v="1"/>
    <x v="2"/>
    <x v="2"/>
    <n v="1"/>
    <s v="Tamamlandı"/>
    <n v="518269349"/>
    <s v="NM-1513"/>
    <s v="Nərgin-Gence Filialina çardırılma"/>
    <n v="15"/>
    <n v="45"/>
    <x v="2"/>
    <n v="30"/>
    <s v="0%"/>
    <s v=""/>
    <s v="Wednesday"/>
  </r>
  <r>
    <s v="TX1514"/>
    <x v="116"/>
    <x v="2"/>
    <x v="1"/>
    <x v="3"/>
    <x v="2"/>
    <n v="4"/>
    <s v="Tamamlandı"/>
    <n v="503575783"/>
    <s v="MI-1514"/>
    <s v="Murad-Gəncə Filialina çardırılma"/>
    <n v="15"/>
    <n v="45"/>
    <x v="22"/>
    <n v="120"/>
    <s v="0%"/>
    <s v=""/>
    <s v="Saturday"/>
  </r>
  <r>
    <s v="TX1515"/>
    <x v="52"/>
    <x v="1"/>
    <x v="1"/>
    <x v="2"/>
    <x v="1"/>
    <n v="1"/>
    <s v="Tamamlandı"/>
    <n v="506425677"/>
    <s v="ZM-1515"/>
    <s v="Zaur-Gence Filialina çardırılma"/>
    <n v="15"/>
    <n v="45"/>
    <x v="2"/>
    <n v="30"/>
    <s v="0%"/>
    <s v=""/>
    <s v="Friday"/>
  </r>
  <r>
    <s v="TX1516"/>
    <x v="96"/>
    <x v="2"/>
    <x v="1"/>
    <x v="1"/>
    <x v="0"/>
    <n v="4"/>
    <s v="Tamamlandı"/>
    <n v="771169260"/>
    <s v="MI-1516"/>
    <s v="Murad-Baki Filialina çardırılma"/>
    <n v="15"/>
    <n v="45"/>
    <x v="22"/>
    <n v="120"/>
    <s v="0%"/>
    <d v="2026-03-31T00:00:00"/>
    <s v="Thursday"/>
  </r>
  <r>
    <s v="TX1517"/>
    <x v="114"/>
    <x v="2"/>
    <x v="1"/>
    <x v="2"/>
    <x v="0"/>
    <n v="5"/>
    <s v="Tamamlandı"/>
    <n v="505635560"/>
    <s v="MI-1517"/>
    <s v="Murad-Gence Filialina çardırılma"/>
    <n v="15"/>
    <n v="45"/>
    <x v="1"/>
    <n v="150"/>
    <s v="0%"/>
    <d v="2026-05-31T00:00:00"/>
    <s v="Tuesday"/>
  </r>
  <r>
    <s v="TX1518"/>
    <x v="81"/>
    <x v="6"/>
    <x v="1"/>
    <x v="3"/>
    <x v="0"/>
    <n v="5"/>
    <s v="Tamamlandı"/>
    <n v="777981435"/>
    <s v="AV-1518"/>
    <s v="Aysel-Gəncə Filialina çardırılma"/>
    <n v="15"/>
    <n v="45"/>
    <x v="1"/>
    <n v="150"/>
    <s v="0%"/>
    <d v="2026-03-31T00:00:00"/>
    <s v="Sunday"/>
  </r>
  <r>
    <s v="TX1519"/>
    <x v="86"/>
    <x v="1"/>
    <x v="2"/>
    <x v="0"/>
    <x v="0"/>
    <n v="3"/>
    <s v="Tamamlandı"/>
    <n v="554050465"/>
    <s v="ZM-1519"/>
    <s v="Zaur-Sumqayit Filialina çardırılma"/>
    <n v="400"/>
    <n v="650"/>
    <x v="38"/>
    <n v="750"/>
    <s v="0%"/>
    <d v="2026-04-30T00:00:00"/>
    <s v="Sunday"/>
  </r>
  <r>
    <s v="TX1520"/>
    <x v="13"/>
    <x v="6"/>
    <x v="0"/>
    <x v="1"/>
    <x v="2"/>
    <n v="5"/>
    <s v="Tamamlandı"/>
    <n v="502977182"/>
    <s v="AV-1520"/>
    <s v="Aysel-Bakı Filialina çardırılma"/>
    <n v="1200"/>
    <n v="1800"/>
    <x v="19"/>
    <n v="3000"/>
    <s v="0%"/>
    <s v=""/>
    <s v="Monday"/>
  </r>
  <r>
    <s v="TX1521"/>
    <x v="127"/>
    <x v="5"/>
    <x v="1"/>
    <x v="1"/>
    <x v="2"/>
    <n v="4"/>
    <s v="Tamamlandı"/>
    <n v="550774098"/>
    <s v="ƏM-1521"/>
    <s v="Əli-Bakı Filialina çardırılma"/>
    <n v="15"/>
    <n v="45"/>
    <x v="22"/>
    <n v="120"/>
    <s v="0%"/>
    <s v=""/>
    <s v="Wednesday"/>
  </r>
  <r>
    <s v="TX1522"/>
    <x v="56"/>
    <x v="5"/>
    <x v="1"/>
    <x v="1"/>
    <x v="1"/>
    <n v="9"/>
    <s v="Tamamlandı"/>
    <n v="519773780"/>
    <s v="ƏM-1522"/>
    <s v="Əli-Bakı Filialina çardırılma"/>
    <n v="15"/>
    <n v="45"/>
    <x v="30"/>
    <n v="270"/>
    <s v="0%"/>
    <s v=""/>
    <s v="Sunday"/>
  </r>
  <r>
    <s v="TX1523"/>
    <x v="30"/>
    <x v="4"/>
    <x v="0"/>
    <x v="3"/>
    <x v="0"/>
    <n v="10"/>
    <s v="Tamamlandı"/>
    <n v="773372495"/>
    <s v="EQ-1523"/>
    <s v="Elnur-Gəncə Filialina çardırılma"/>
    <n v="1200"/>
    <n v="1800"/>
    <x v="25"/>
    <n v="6000"/>
    <s v="0%"/>
    <d v="2026-02-28T00:00:00"/>
    <s v="Tuesday"/>
  </r>
  <r>
    <s v="TX1524"/>
    <x v="85"/>
    <x v="5"/>
    <x v="0"/>
    <x v="1"/>
    <x v="1"/>
    <n v="6"/>
    <s v="Tamamlandı"/>
    <n v="558072133"/>
    <s v="ƏM-1524"/>
    <s v="Əli-Bakı Filialina çardırılma"/>
    <n v="1200"/>
    <n v="1800"/>
    <x v="3"/>
    <n v="3600"/>
    <s v="0%"/>
    <s v=""/>
    <s v="Thursday"/>
  </r>
  <r>
    <s v="TX1525"/>
    <x v="26"/>
    <x v="3"/>
    <x v="1"/>
    <x v="4"/>
    <x v="0"/>
    <n v="4"/>
    <s v="Tamamlandı"/>
    <n v="775252805"/>
    <s v="NM-1525"/>
    <s v="Nərgin-Naməlum Filialina çardırılma"/>
    <n v="15"/>
    <n v="45"/>
    <x v="22"/>
    <n v="120"/>
    <s v="0%"/>
    <d v="2026-02-28T00:00:00"/>
    <s v="Sunday"/>
  </r>
  <r>
    <s v="TX1526"/>
    <x v="42"/>
    <x v="0"/>
    <x v="1"/>
    <x v="3"/>
    <x v="0"/>
    <n v="9"/>
    <s v="Tamamlandı"/>
    <n v="771984025"/>
    <s v="RH-1526"/>
    <s v="Ramil-Gəncə Filialina çardırılma"/>
    <n v="15"/>
    <n v="45"/>
    <x v="30"/>
    <n v="270"/>
    <s v="0%"/>
    <d v="2026-04-30T00:00:00"/>
    <s v="Tuesday"/>
  </r>
  <r>
    <s v="TX1527"/>
    <x v="63"/>
    <x v="6"/>
    <x v="3"/>
    <x v="0"/>
    <x v="0"/>
    <n v="10"/>
    <s v="Tamamlandı"/>
    <n v="708769150"/>
    <s v="AV-1527"/>
    <s v="Aysel-Sumqayit Filialina çardırılma"/>
    <n v="600"/>
    <n v="950"/>
    <x v="8"/>
    <n v="3500"/>
    <s v="0%"/>
    <d v="2026-03-31T00:00:00"/>
    <s v="Tuesday"/>
  </r>
  <r>
    <s v="TX1528"/>
    <x v="29"/>
    <x v="6"/>
    <x v="1"/>
    <x v="1"/>
    <x v="2"/>
    <n v="7"/>
    <s v="Tamamlandı"/>
    <n v="771711119"/>
    <s v="AV-1528"/>
    <s v="Aysel-Baki Filialina çardırılma"/>
    <n v="15"/>
    <n v="45"/>
    <x v="34"/>
    <n v="210"/>
    <n v="40.5"/>
    <s v=""/>
    <s v="Monday"/>
  </r>
  <r>
    <s v="TX1529"/>
    <x v="10"/>
    <x v="5"/>
    <x v="3"/>
    <x v="1"/>
    <x v="1"/>
    <n v="8"/>
    <s v="Tamamlandı"/>
    <n v="519166876"/>
    <s v="ƏM-1529"/>
    <s v="Əli-Baki Filialina çardırılma"/>
    <n v="600"/>
    <n v="950"/>
    <x v="7"/>
    <n v="2800"/>
    <s v="0%"/>
    <s v=""/>
    <s v="Tuesday"/>
  </r>
  <r>
    <s v="TX1530"/>
    <x v="116"/>
    <x v="5"/>
    <x v="2"/>
    <x v="0"/>
    <x v="0"/>
    <n v="6"/>
    <s v="Tamamlandı"/>
    <n v="779719085"/>
    <s v="ƏM-1530"/>
    <s v="Əli-Sumqayıt Filialina çardırılma"/>
    <n v="400"/>
    <n v="650"/>
    <x v="37"/>
    <n v="1500"/>
    <s v="0%"/>
    <d v="2026-03-31T00:00:00"/>
    <s v="Saturday"/>
  </r>
  <r>
    <s v="TX1531"/>
    <x v="8"/>
    <x v="3"/>
    <x v="1"/>
    <x v="0"/>
    <x v="2"/>
    <n v="2"/>
    <s v="Tamamlandı"/>
    <n v="550004585"/>
    <s v="NM-1531"/>
    <s v="Nərgin-Sumqayıt Filialina çardırılma"/>
    <n v="15"/>
    <n v="45"/>
    <x v="32"/>
    <n v="60"/>
    <s v="0%"/>
    <s v=""/>
    <s v="Wednesday"/>
  </r>
  <r>
    <s v="TX1532"/>
    <x v="88"/>
    <x v="4"/>
    <x v="2"/>
    <x v="0"/>
    <x v="0"/>
    <n v="8"/>
    <s v="Tamamlandı"/>
    <n v="518422542"/>
    <s v="EQ-1532"/>
    <s v="Elnur-Sumqayıt Filialina çardırılma"/>
    <n v="400"/>
    <n v="650"/>
    <x v="23"/>
    <n v="2000"/>
    <s v="0%"/>
    <d v="2026-01-31T00:00:00"/>
    <s v="Monday"/>
  </r>
  <r>
    <s v="TX1533"/>
    <x v="54"/>
    <x v="0"/>
    <x v="3"/>
    <x v="1"/>
    <x v="2"/>
    <n v="6"/>
    <s v="Tamamlandı"/>
    <n v="551865216"/>
    <s v="RH-1533"/>
    <s v="Ramil-Bakı Filialina çardırılma"/>
    <n v="600"/>
    <n v="950"/>
    <x v="15"/>
    <n v="2100"/>
    <n v="855"/>
    <s v=""/>
    <s v="Sunday"/>
  </r>
  <r>
    <s v="TX1534"/>
    <x v="132"/>
    <x v="6"/>
    <x v="0"/>
    <x v="0"/>
    <x v="0"/>
    <n v="2"/>
    <s v="Tamamlandı"/>
    <n v="502962306"/>
    <s v="AV-1534"/>
    <s v="Aysel-Sumqayit Filialina çardırılma"/>
    <n v="1200"/>
    <n v="1800"/>
    <x v="13"/>
    <n v="1200"/>
    <s v="0%"/>
    <d v="2026-05-31T00:00:00"/>
    <s v="Sunday"/>
  </r>
  <r>
    <s v="TX1535"/>
    <x v="135"/>
    <x v="7"/>
    <x v="0"/>
    <x v="0"/>
    <x v="0"/>
    <n v="10"/>
    <s v="Tamamlandı"/>
    <n v="706135803"/>
    <s v="LƏ-1535"/>
    <s v="Leyla-Sumqayit Filialina çardırılma"/>
    <n v="1200"/>
    <n v="1800"/>
    <x v="25"/>
    <n v="6000"/>
    <s v="0%"/>
    <d v="2026-05-31T00:00:00"/>
    <s v="Saturday"/>
  </r>
  <r>
    <s v="TX1536"/>
    <x v="28"/>
    <x v="5"/>
    <x v="1"/>
    <x v="2"/>
    <x v="0"/>
    <n v="5"/>
    <s v="Tamamlandı"/>
    <n v="508868893"/>
    <s v="ƏM-1536"/>
    <s v="Əli-Gence Filialina çardırılma"/>
    <n v="15"/>
    <n v="45"/>
    <x v="1"/>
    <n v="150"/>
    <s v="0%"/>
    <d v="2026-01-31T00:00:00"/>
    <s v="Sunday"/>
  </r>
  <r>
    <s v="TX1537"/>
    <x v="4"/>
    <x v="4"/>
    <x v="3"/>
    <x v="1"/>
    <x v="2"/>
    <n v="1"/>
    <s v="Tamamlandı"/>
    <n v="707420974"/>
    <s v="EQ-1537"/>
    <s v="Elnur-Baki Filialina çardırılma"/>
    <n v="600"/>
    <n v="950"/>
    <x v="16"/>
    <n v="350"/>
    <s v="0%"/>
    <s v=""/>
    <s v="Tuesday"/>
  </r>
  <r>
    <s v="TX1538"/>
    <x v="11"/>
    <x v="0"/>
    <x v="0"/>
    <x v="2"/>
    <x v="1"/>
    <n v="10"/>
    <s v="Tamamlandı"/>
    <n v="708699344"/>
    <s v="RH-1538"/>
    <s v="Ramil-Gence Filialina çardırılma"/>
    <n v="1200"/>
    <n v="1800"/>
    <x v="25"/>
    <n v="6000"/>
    <s v="0%"/>
    <s v=""/>
    <s v="Wednesday"/>
  </r>
  <r>
    <s v="TX1539"/>
    <x v="102"/>
    <x v="1"/>
    <x v="3"/>
    <x v="1"/>
    <x v="0"/>
    <n v="10"/>
    <s v="Tamamlandı"/>
    <n v="508240829"/>
    <s v="ZM-1539"/>
    <s v="Zaur-Baki Filialina çardırılma"/>
    <n v="600"/>
    <n v="950"/>
    <x v="8"/>
    <n v="3500"/>
    <s v="0%"/>
    <d v="2026-03-31T00:00:00"/>
    <s v="Wednesday"/>
  </r>
  <r>
    <s v="TX1540"/>
    <x v="141"/>
    <x v="2"/>
    <x v="1"/>
    <x v="1"/>
    <x v="3"/>
    <n v="2"/>
    <s v="Tamamlandı"/>
    <n v="517503452"/>
    <s v="MI-1540"/>
    <s v="Murad-Baki Filialina çardırılma"/>
    <n v="15"/>
    <n v="45"/>
    <x v="32"/>
    <n v="60"/>
    <s v="0%"/>
    <s v=""/>
    <s v="Monday"/>
  </r>
  <r>
    <s v="TX1541"/>
    <x v="116"/>
    <x v="5"/>
    <x v="0"/>
    <x v="1"/>
    <x v="2"/>
    <n v="4"/>
    <s v="Tamamlandı"/>
    <n v="513592208"/>
    <s v="ƏM-1541"/>
    <s v="Əli-Bakı Filialina çardırılma"/>
    <n v="1200"/>
    <n v="1800"/>
    <x v="27"/>
    <n v="2400"/>
    <s v="0%"/>
    <s v=""/>
    <s v="Saturday"/>
  </r>
  <r>
    <s v="TX1542"/>
    <x v="103"/>
    <x v="6"/>
    <x v="3"/>
    <x v="0"/>
    <x v="1"/>
    <n v="9"/>
    <s v="Tamamlandı"/>
    <n v="700285559"/>
    <s v="AV-1542"/>
    <s v="Aysel-Sumqayıt Filialina çardırılma"/>
    <n v="600"/>
    <n v="950"/>
    <x v="10"/>
    <n v="3150"/>
    <s v="0%"/>
    <s v=""/>
    <s v="Wednesday"/>
  </r>
  <r>
    <s v="TX1543"/>
    <x v="136"/>
    <x v="2"/>
    <x v="1"/>
    <x v="0"/>
    <x v="2"/>
    <n v="4"/>
    <s v="Tamamlandı"/>
    <n v="555925174"/>
    <s v="MI-1543"/>
    <s v="Murad-Sumqayıt Filialina çardırılma"/>
    <n v="15"/>
    <n v="45"/>
    <x v="22"/>
    <n v="120"/>
    <s v="0%"/>
    <s v=""/>
    <s v="Sunday"/>
  </r>
  <r>
    <s v="TX1544"/>
    <x v="144"/>
    <x v="7"/>
    <x v="0"/>
    <x v="0"/>
    <x v="2"/>
    <n v="7"/>
    <s v="Tamamlandı"/>
    <n v="704494586"/>
    <s v="LƏ-1544"/>
    <s v="Leyla-Sumqayit Filialina çardırılma"/>
    <n v="1200"/>
    <n v="1800"/>
    <x v="9"/>
    <n v="4200"/>
    <n v="1620"/>
    <s v=""/>
    <s v="Monday"/>
  </r>
  <r>
    <s v="TX1545"/>
    <x v="14"/>
    <x v="3"/>
    <x v="0"/>
    <x v="1"/>
    <x v="2"/>
    <n v="1"/>
    <s v="Tamamlandı"/>
    <n v="511056413"/>
    <s v="NM-1545"/>
    <s v="Nərgin-Baki Filialina çardırılma"/>
    <n v="1200"/>
    <n v="1800"/>
    <x v="11"/>
    <n v="600"/>
    <s v="0%"/>
    <s v=""/>
    <s v="Tuesday"/>
  </r>
  <r>
    <s v="TX1546"/>
    <x v="101"/>
    <x v="2"/>
    <x v="3"/>
    <x v="1"/>
    <x v="1"/>
    <n v="1"/>
    <s v="Tamamlandı"/>
    <n v="700646328"/>
    <s v="MI-1546"/>
    <s v="Murad-Baki Filialina çardırılma"/>
    <n v="600"/>
    <n v="950"/>
    <x v="16"/>
    <n v="350"/>
    <s v="0%"/>
    <s v=""/>
    <s v="Sunday"/>
  </r>
  <r>
    <s v="TX1547"/>
    <x v="118"/>
    <x v="4"/>
    <x v="3"/>
    <x v="0"/>
    <x v="0"/>
    <n v="3"/>
    <s v="Tamamlandı"/>
    <n v="500918373"/>
    <s v="EQ-1547"/>
    <s v="Elnur-Sumqayıt Filialina çardırılma"/>
    <n v="600"/>
    <n v="950"/>
    <x v="18"/>
    <n v="1050"/>
    <s v="0%"/>
    <d v="2026-05-31T00:00:00"/>
    <s v="Saturday"/>
  </r>
  <r>
    <s v="TX1548"/>
    <x v="29"/>
    <x v="2"/>
    <x v="0"/>
    <x v="1"/>
    <x v="2"/>
    <n v="8"/>
    <s v="Tamamlandı"/>
    <n v="704410941"/>
    <s v="MI-1548"/>
    <s v="Murad-Bakı Filialina çardırılma"/>
    <n v="1200"/>
    <n v="1800"/>
    <x v="0"/>
    <n v="4800"/>
    <n v="1620"/>
    <s v=""/>
    <s v="Monday"/>
  </r>
  <r>
    <s v="TX1549"/>
    <x v="12"/>
    <x v="1"/>
    <x v="2"/>
    <x v="0"/>
    <x v="2"/>
    <n v="4"/>
    <s v="Tamamlandı"/>
    <n v="772735810"/>
    <s v="ZM-1549"/>
    <s v="Zaur-Sumqayit Filialina çardırılma"/>
    <n v="400"/>
    <n v="650"/>
    <x v="20"/>
    <n v="1000"/>
    <s v="0%"/>
    <s v=""/>
    <s v="Monday"/>
  </r>
  <r>
    <s v="TX1550"/>
    <x v="124"/>
    <x v="4"/>
    <x v="2"/>
    <x v="1"/>
    <x v="2"/>
    <n v="5"/>
    <s v="Tamamlandı"/>
    <n v="777137042"/>
    <s v="EQ-1550"/>
    <s v="Elnur-Bakı Filialina çardırılma"/>
    <n v="400"/>
    <n v="650"/>
    <x v="12"/>
    <n v="1250"/>
    <s v="0%"/>
    <s v=""/>
    <s v="Saturday"/>
  </r>
  <r>
    <s v="TX1551"/>
    <x v="107"/>
    <x v="1"/>
    <x v="1"/>
    <x v="1"/>
    <x v="2"/>
    <n v="6"/>
    <s v="Tamamlandı"/>
    <n v="775232665"/>
    <s v="ZM-1551"/>
    <s v="Zaur-Baki Filialina çardırılma"/>
    <n v="15"/>
    <n v="45"/>
    <x v="31"/>
    <n v="180"/>
    <n v="40.5"/>
    <s v=""/>
    <s v="Tuesday"/>
  </r>
  <r>
    <s v="TX1552"/>
    <x v="148"/>
    <x v="0"/>
    <x v="0"/>
    <x v="3"/>
    <x v="0"/>
    <n v="10"/>
    <s v="Tamamlandı"/>
    <n v="515855062"/>
    <s v="RH-1552"/>
    <s v="Ramil-Gəncə Filialina çardırılma"/>
    <n v="1200"/>
    <n v="1800"/>
    <x v="25"/>
    <n v="6000"/>
    <s v="0%"/>
    <d v="2026-01-31T00:00:00"/>
    <s v="Friday"/>
  </r>
  <r>
    <s v="TX1553"/>
    <x v="39"/>
    <x v="2"/>
    <x v="1"/>
    <x v="1"/>
    <x v="0"/>
    <n v="1"/>
    <s v="Tamamlandı"/>
    <n v="777586868"/>
    <s v="MI-1553"/>
    <s v="Murad-Baki Filialina çardırılma"/>
    <n v="15"/>
    <n v="45"/>
    <x v="2"/>
    <n v="30"/>
    <s v="0%"/>
    <d v="2026-02-28T00:00:00"/>
    <s v="Monday"/>
  </r>
  <r>
    <s v="TX1554"/>
    <x v="106"/>
    <x v="5"/>
    <x v="0"/>
    <x v="1"/>
    <x v="2"/>
    <n v="2"/>
    <s v="Tamamlandı"/>
    <n v="706233010"/>
    <s v="ƏM-1554"/>
    <s v="Əli-Bakı Filialina çardırılma"/>
    <n v="1200"/>
    <n v="1800"/>
    <x v="13"/>
    <n v="1200"/>
    <s v="0%"/>
    <s v=""/>
    <s v="Thursday"/>
  </r>
  <r>
    <s v="TX1555"/>
    <x v="108"/>
    <x v="7"/>
    <x v="1"/>
    <x v="0"/>
    <x v="0"/>
    <n v="1"/>
    <s v="Tamamlandı"/>
    <n v="554182264"/>
    <s v="LƏ-1555"/>
    <s v="Leyla-Sumqayit Filialina çardırılma"/>
    <n v="15"/>
    <n v="45"/>
    <x v="2"/>
    <n v="30"/>
    <s v="0%"/>
    <d v="2026-03-31T00:00:00"/>
    <s v="Monday"/>
  </r>
  <r>
    <s v="TX1556"/>
    <x v="83"/>
    <x v="6"/>
    <x v="1"/>
    <x v="0"/>
    <x v="0"/>
    <n v="4"/>
    <s v="Tamamlandı"/>
    <n v="700803290"/>
    <s v="AV-1556"/>
    <s v="Aysel-Sumqayit Filialina çardırılma"/>
    <n v="15"/>
    <n v="45"/>
    <x v="22"/>
    <n v="120"/>
    <s v="0%"/>
    <d v="2026-01-31T00:00:00"/>
    <s v="Friday"/>
  </r>
  <r>
    <s v="TX1557"/>
    <x v="48"/>
    <x v="0"/>
    <x v="2"/>
    <x v="3"/>
    <x v="0"/>
    <n v="5"/>
    <s v="Tamamlandı"/>
    <n v="504146013"/>
    <s v="RH-1557"/>
    <s v="Ramil-Gəncə Filialina çardırılma"/>
    <n v="400"/>
    <n v="650"/>
    <x v="12"/>
    <n v="1250"/>
    <s v="0%"/>
    <d v="2026-05-31T00:00:00"/>
    <s v="Friday"/>
  </r>
  <r>
    <s v="TX1558"/>
    <x v="140"/>
    <x v="4"/>
    <x v="3"/>
    <x v="2"/>
    <x v="0"/>
    <n v="9"/>
    <s v="Tamamlandı"/>
    <n v="778140564"/>
    <s v="EQ-1558"/>
    <s v="Elnur-Gence Filialina çardırılma"/>
    <n v="600"/>
    <n v="950"/>
    <x v="10"/>
    <n v="3150"/>
    <s v="0%"/>
    <d v="2026-05-31T00:00:00"/>
    <s v="Monday"/>
  </r>
  <r>
    <s v="TX1559"/>
    <x v="71"/>
    <x v="1"/>
    <x v="3"/>
    <x v="3"/>
    <x v="0"/>
    <n v="2"/>
    <s v="Tamamlandı"/>
    <n v="509299399"/>
    <s v="ZM-1559"/>
    <s v="Zaur-Gəncə Filialina çardırılma"/>
    <n v="600"/>
    <n v="950"/>
    <x v="21"/>
    <n v="700"/>
    <s v="0%"/>
    <d v="2026-01-31T00:00:00"/>
    <s v="Monday"/>
  </r>
  <r>
    <s v="TX1560"/>
    <x v="67"/>
    <x v="3"/>
    <x v="0"/>
    <x v="4"/>
    <x v="0"/>
    <n v="8"/>
    <s v="Tamamlandı"/>
    <n v="778852347"/>
    <s v="NM-1560"/>
    <s v="Nərgin-Naməlum Filialina çardırılma"/>
    <n v="1200"/>
    <n v="1800"/>
    <x v="0"/>
    <n v="4800"/>
    <s v="0%"/>
    <d v="2026-02-28T00:00:00"/>
    <s v="Monday"/>
  </r>
  <r>
    <s v="TX1561"/>
    <x v="28"/>
    <x v="4"/>
    <x v="1"/>
    <x v="2"/>
    <x v="2"/>
    <n v="5"/>
    <s v="Tamamlandı"/>
    <n v="517664977"/>
    <s v="EQ-1561"/>
    <s v="Elnur-Gence Filialina çardırılma"/>
    <n v="15"/>
    <n v="45"/>
    <x v="1"/>
    <n v="150"/>
    <s v="0%"/>
    <s v=""/>
    <s v="Sunday"/>
  </r>
  <r>
    <s v="TX1562"/>
    <x v="4"/>
    <x v="3"/>
    <x v="1"/>
    <x v="2"/>
    <x v="1"/>
    <n v="7"/>
    <s v="Tamamlandı"/>
    <n v="504125734"/>
    <s v="NM-1562"/>
    <s v="Nərgin-Gence Filialina çardırılma"/>
    <n v="15"/>
    <n v="45"/>
    <x v="34"/>
    <n v="210"/>
    <s v="0%"/>
    <s v=""/>
    <s v="Tuesday"/>
  </r>
  <r>
    <s v="TX1563"/>
    <x v="147"/>
    <x v="0"/>
    <x v="1"/>
    <x v="0"/>
    <x v="0"/>
    <n v="6"/>
    <s v="Tamamlandı"/>
    <n v="517225302"/>
    <s v="RH-1563"/>
    <s v="Ramil-Sumqayıt Filialina çardırılma"/>
    <n v="15"/>
    <n v="45"/>
    <x v="31"/>
    <n v="180"/>
    <s v="0%"/>
    <d v="2026-02-28T00:00:00"/>
    <s v="Thursday"/>
  </r>
  <r>
    <s v="TX1564"/>
    <x v="78"/>
    <x v="1"/>
    <x v="0"/>
    <x v="0"/>
    <x v="2"/>
    <n v="7"/>
    <s v="Tamamlandı"/>
    <n v="511432042"/>
    <s v="ZM-1564"/>
    <s v="Zaur-Sumqayıt Filialina çardırılma"/>
    <n v="1200"/>
    <n v="1800"/>
    <x v="9"/>
    <n v="4200"/>
    <n v="1620"/>
    <s v=""/>
    <s v="Monday"/>
  </r>
  <r>
    <s v="TX1565"/>
    <x v="38"/>
    <x v="2"/>
    <x v="0"/>
    <x v="2"/>
    <x v="1"/>
    <n v="7"/>
    <s v="Tamamlandı"/>
    <n v="504850370"/>
    <s v="MI-1565"/>
    <s v="Murad-Gence Filialina çardırılma"/>
    <n v="1200"/>
    <n v="1800"/>
    <x v="9"/>
    <n v="4200"/>
    <s v="0%"/>
    <s v=""/>
    <s v="Saturday"/>
  </r>
  <r>
    <s v="TX1566"/>
    <x v="64"/>
    <x v="1"/>
    <x v="0"/>
    <x v="0"/>
    <x v="0"/>
    <n v="2"/>
    <s v="Tamamlandı"/>
    <n v="779242864"/>
    <s v="ZM-1566"/>
    <s v="Zaur-Sumqayıt Filialina çardırılma"/>
    <n v="1200"/>
    <n v="1800"/>
    <x v="13"/>
    <n v="1200"/>
    <s v="0%"/>
    <d v="2026-03-31T00:00:00"/>
    <s v="Friday"/>
  </r>
  <r>
    <s v="TX1567"/>
    <x v="133"/>
    <x v="6"/>
    <x v="2"/>
    <x v="0"/>
    <x v="0"/>
    <n v="2"/>
    <s v="Tamamlandı"/>
    <n v="772351213"/>
    <s v="AV-1567"/>
    <s v="Aysel-Sumqayıt Filialina çardırılma"/>
    <n v="400"/>
    <n v="650"/>
    <x v="36"/>
    <n v="500"/>
    <s v="0%"/>
    <d v="2026-01-31T00:00:00"/>
    <s v="Thursday"/>
  </r>
  <r>
    <s v="TX1568"/>
    <x v="43"/>
    <x v="4"/>
    <x v="1"/>
    <x v="1"/>
    <x v="0"/>
    <n v="4"/>
    <s v="Tamamlandı"/>
    <n v="504328562"/>
    <s v="EQ-1568"/>
    <s v="Elnur-Baki Filialina çardırılma"/>
    <n v="15"/>
    <n v="45"/>
    <x v="22"/>
    <n v="120"/>
    <s v="0%"/>
    <d v="2026-01-31T00:00:00"/>
    <s v="Friday"/>
  </r>
  <r>
    <s v="TX1569"/>
    <x v="116"/>
    <x v="3"/>
    <x v="0"/>
    <x v="2"/>
    <x v="0"/>
    <n v="10"/>
    <s v="Tamamlandı"/>
    <n v="704677778"/>
    <s v="NM-1569"/>
    <s v="Nərgin-Gence Filialina çardırılma"/>
    <n v="1200"/>
    <n v="1800"/>
    <x v="25"/>
    <n v="6000"/>
    <s v="0%"/>
    <d v="2026-03-31T00:00:00"/>
    <s v="Saturday"/>
  </r>
  <r>
    <s v="TX1570"/>
    <x v="11"/>
    <x v="7"/>
    <x v="3"/>
    <x v="0"/>
    <x v="1"/>
    <n v="4"/>
    <s v="Tamamlandı"/>
    <n v="709330027"/>
    <s v="LƏ-1570"/>
    <s v="Leyla-Sumqayit Filialina çardırılma"/>
    <n v="600"/>
    <n v="950"/>
    <x v="29"/>
    <n v="1400"/>
    <s v="0%"/>
    <s v=""/>
    <s v="Wednesday"/>
  </r>
  <r>
    <s v="TX1571"/>
    <x v="94"/>
    <x v="0"/>
    <x v="0"/>
    <x v="3"/>
    <x v="2"/>
    <n v="3"/>
    <s v="Tamamlandı"/>
    <n v="771956362"/>
    <s v="RH-1571"/>
    <s v="Ramil-Gəncə Filialina çardırılma"/>
    <n v="1200"/>
    <n v="1800"/>
    <x v="4"/>
    <n v="1800"/>
    <s v="0%"/>
    <s v=""/>
    <s v="Sunday"/>
  </r>
  <r>
    <s v="TX1572"/>
    <x v="75"/>
    <x v="7"/>
    <x v="0"/>
    <x v="1"/>
    <x v="0"/>
    <n v="8"/>
    <s v="Tamamlandı"/>
    <n v="511383122"/>
    <s v="LƏ-1572"/>
    <s v="Leyla-Bakı Filialina çardırılma"/>
    <n v="1200"/>
    <n v="1800"/>
    <x v="0"/>
    <n v="4800"/>
    <s v="0%"/>
    <d v="2026-05-31T00:00:00"/>
    <s v="Wednesday"/>
  </r>
  <r>
    <s v="TX1573"/>
    <x v="19"/>
    <x v="5"/>
    <x v="0"/>
    <x v="1"/>
    <x v="2"/>
    <n v="2"/>
    <s v="Tamamlandı"/>
    <n v="502816237"/>
    <s v="ƏM-1573"/>
    <s v="Əli-Bakı Filialina çardırılma"/>
    <n v="1200"/>
    <n v="1800"/>
    <x v="13"/>
    <n v="1200"/>
    <s v="0%"/>
    <s v=""/>
    <s v="Sunday"/>
  </r>
  <r>
    <s v="TX1574"/>
    <x v="60"/>
    <x v="2"/>
    <x v="0"/>
    <x v="1"/>
    <x v="0"/>
    <n v="8"/>
    <s v="Tamamlandı"/>
    <n v="702413288"/>
    <s v="MI-1574"/>
    <s v="Murad-Baki Filialina çardırılma"/>
    <n v="1200"/>
    <n v="1800"/>
    <x v="0"/>
    <n v="4800"/>
    <s v="0%"/>
    <d v="2026-02-28T00:00:00"/>
    <s v="Saturday"/>
  </r>
  <r>
    <s v="TX1575"/>
    <x v="16"/>
    <x v="3"/>
    <x v="3"/>
    <x v="2"/>
    <x v="2"/>
    <n v="6"/>
    <s v="Tamamlandı"/>
    <n v="771568986"/>
    <s v="NM-1575"/>
    <s v="Nərgin-Gence Filialina çardırılma"/>
    <n v="600"/>
    <n v="950"/>
    <x v="15"/>
    <n v="2100"/>
    <n v="855"/>
    <s v=""/>
    <s v="Thursday"/>
  </r>
  <r>
    <s v="TX1576"/>
    <x v="70"/>
    <x v="3"/>
    <x v="2"/>
    <x v="1"/>
    <x v="0"/>
    <n v="5"/>
    <s v="Tamamlandı"/>
    <n v="506417288"/>
    <s v="NM-1576"/>
    <s v="Nərgin-Baki Filialina çardırılma"/>
    <n v="400"/>
    <n v="650"/>
    <x v="12"/>
    <n v="1250"/>
    <s v="0%"/>
    <d v="2026-04-30T00:00:00"/>
    <s v="Thursday"/>
  </r>
  <r>
    <s v="TX1577"/>
    <x v="58"/>
    <x v="6"/>
    <x v="0"/>
    <x v="1"/>
    <x v="1"/>
    <n v="6"/>
    <s v="Tamamlandı"/>
    <n v="774613465"/>
    <s v="AV-1577"/>
    <s v="Aysel-Baki Filialina çardırılma"/>
    <n v="1200"/>
    <n v="1800"/>
    <x v="3"/>
    <n v="3600"/>
    <s v="0%"/>
    <s v=""/>
    <s v="Monday"/>
  </r>
  <r>
    <s v="TX1578"/>
    <x v="34"/>
    <x v="3"/>
    <x v="0"/>
    <x v="0"/>
    <x v="0"/>
    <n v="3"/>
    <s v="Tamamlandı"/>
    <n v="707189641"/>
    <s v="NM-1578"/>
    <s v="Nərgin-Sumqayıt Filialina çardırılma"/>
    <n v="1200"/>
    <n v="1800"/>
    <x v="4"/>
    <n v="1800"/>
    <s v="0%"/>
    <d v="2026-04-30T00:00:00"/>
    <s v="Wednesday"/>
  </r>
  <r>
    <s v="TX1579"/>
    <x v="0"/>
    <x v="4"/>
    <x v="1"/>
    <x v="0"/>
    <x v="1"/>
    <n v="10"/>
    <s v="Tamamlandı"/>
    <n v="550004126"/>
    <s v="EQ-1579"/>
    <s v="Elnur-Sumqayit Filialina çardırılma"/>
    <n v="15"/>
    <n v="45"/>
    <x v="24"/>
    <n v="300"/>
    <s v="0%"/>
    <s v=""/>
    <s v="Wednesday"/>
  </r>
  <r>
    <s v="TX1580"/>
    <x v="107"/>
    <x v="6"/>
    <x v="0"/>
    <x v="0"/>
    <x v="2"/>
    <n v="9"/>
    <s v="Tamamlandı"/>
    <n v="770761620"/>
    <s v="AV-1580"/>
    <s v="Aysel-Sumqayit Filialina çardırılma"/>
    <n v="1200"/>
    <n v="1800"/>
    <x v="35"/>
    <n v="5400"/>
    <n v="1620"/>
    <s v=""/>
    <s v="Tuesday"/>
  </r>
  <r>
    <s v="TX1581"/>
    <x v="18"/>
    <x v="1"/>
    <x v="3"/>
    <x v="0"/>
    <x v="2"/>
    <n v="9"/>
    <s v="Tamamlandı"/>
    <n v="700763602"/>
    <s v="ZM-1581"/>
    <s v="Zaur-Sumqayit Filialina çardırılma"/>
    <n v="600"/>
    <n v="950"/>
    <x v="10"/>
    <n v="3150"/>
    <n v="855"/>
    <s v=""/>
    <s v="Saturday"/>
  </r>
  <r>
    <s v="TX1582"/>
    <x v="35"/>
    <x v="2"/>
    <x v="3"/>
    <x v="3"/>
    <x v="1"/>
    <n v="3"/>
    <s v="Tamamlandı"/>
    <n v="707144001"/>
    <s v="MI-1582"/>
    <s v="Murad-Gəncə Filialina çardırılma"/>
    <n v="600"/>
    <n v="950"/>
    <x v="18"/>
    <n v="1050"/>
    <s v="0%"/>
    <s v=""/>
    <s v="Friday"/>
  </r>
  <r>
    <s v="TX1583"/>
    <x v="49"/>
    <x v="3"/>
    <x v="3"/>
    <x v="1"/>
    <x v="2"/>
    <n v="9"/>
    <s v="Tamamlandı"/>
    <n v="555730000"/>
    <s v="NM-1583"/>
    <s v="Nərgin-Baki Filialina çardırılma"/>
    <n v="600"/>
    <n v="950"/>
    <x v="10"/>
    <n v="3150"/>
    <n v="855"/>
    <s v=""/>
    <s v="Saturday"/>
  </r>
  <r>
    <s v="TX1584"/>
    <x v="104"/>
    <x v="1"/>
    <x v="3"/>
    <x v="2"/>
    <x v="1"/>
    <n v="9"/>
    <s v="Tamamlandı"/>
    <n v="508688199"/>
    <s v="ZM-1584"/>
    <s v="Zaur-Gence Filialina çardırılma"/>
    <n v="600"/>
    <n v="950"/>
    <x v="10"/>
    <n v="3150"/>
    <s v="0%"/>
    <s v=""/>
    <s v="Tuesday"/>
  </r>
  <r>
    <s v="TX1585"/>
    <x v="73"/>
    <x v="5"/>
    <x v="3"/>
    <x v="1"/>
    <x v="2"/>
    <n v="4"/>
    <s v="Tamamlandı"/>
    <n v="514205611"/>
    <s v="ƏM-1585"/>
    <s v="Əli-Baki Filialina çardırılma"/>
    <n v="600"/>
    <n v="950"/>
    <x v="29"/>
    <n v="1400"/>
    <s v="0%"/>
    <s v=""/>
    <s v="Tuesday"/>
  </r>
  <r>
    <s v="TX1586"/>
    <x v="139"/>
    <x v="2"/>
    <x v="2"/>
    <x v="1"/>
    <x v="0"/>
    <n v="6"/>
    <s v="Tamamlandı"/>
    <n v="705945506"/>
    <s v="MI-1586"/>
    <s v="Murad-Bakı Filialina çardırılma"/>
    <n v="400"/>
    <n v="650"/>
    <x v="37"/>
    <n v="1500"/>
    <s v="0%"/>
    <d v="2026-01-31T00:00:00"/>
    <s v="Thursday"/>
  </r>
  <r>
    <s v="TX1587"/>
    <x v="59"/>
    <x v="1"/>
    <x v="1"/>
    <x v="0"/>
    <x v="1"/>
    <n v="7"/>
    <s v="Tamamlandı"/>
    <n v="509731395"/>
    <s v="ZM-1587"/>
    <s v="Zaur-Sumqayit Filialina çardırılma"/>
    <n v="15"/>
    <n v="45"/>
    <x v="34"/>
    <n v="210"/>
    <s v="0%"/>
    <s v=""/>
    <s v="Saturday"/>
  </r>
  <r>
    <s v="TX1588"/>
    <x v="110"/>
    <x v="4"/>
    <x v="1"/>
    <x v="0"/>
    <x v="2"/>
    <n v="5"/>
    <s v="Tamamlandı"/>
    <n v="550325834"/>
    <s v="EQ-1588"/>
    <s v="Elnur-Sumqayit Filialina çardırılma"/>
    <n v="15"/>
    <n v="45"/>
    <x v="1"/>
    <n v="150"/>
    <s v="0%"/>
    <s v=""/>
    <s v="Saturday"/>
  </r>
  <r>
    <s v="TX1589"/>
    <x v="13"/>
    <x v="6"/>
    <x v="3"/>
    <x v="0"/>
    <x v="2"/>
    <n v="3"/>
    <s v="Tamamlandı"/>
    <n v="502125776"/>
    <s v="AV-1589"/>
    <s v="Aysel-Sumqayıt Filialina çardırılma"/>
    <n v="600"/>
    <n v="950"/>
    <x v="18"/>
    <n v="1050"/>
    <s v="0%"/>
    <s v=""/>
    <s v="Monday"/>
  </r>
  <r>
    <s v="TX1590"/>
    <x v="71"/>
    <x v="4"/>
    <x v="3"/>
    <x v="1"/>
    <x v="2"/>
    <n v="5"/>
    <s v="Tamamlandı"/>
    <n v="519840843"/>
    <s v="EQ-1590"/>
    <s v="Elnur-Baki Filialina çardırılma"/>
    <n v="600"/>
    <n v="950"/>
    <x v="26"/>
    <n v="1750"/>
    <s v="0%"/>
    <s v=""/>
    <s v="Monday"/>
  </r>
  <r>
    <s v="TX1591"/>
    <x v="54"/>
    <x v="1"/>
    <x v="3"/>
    <x v="3"/>
    <x v="1"/>
    <n v="6"/>
    <s v="Tamamlandı"/>
    <n v="509191508"/>
    <s v="ZM-1591"/>
    <s v="Zaur-Gəncə Filialina çardırılma"/>
    <n v="600"/>
    <n v="950"/>
    <x v="15"/>
    <n v="2100"/>
    <s v="0%"/>
    <s v=""/>
    <s v="Sunday"/>
  </r>
  <r>
    <s v="TX1592"/>
    <x v="95"/>
    <x v="2"/>
    <x v="0"/>
    <x v="0"/>
    <x v="1"/>
    <n v="10"/>
    <s v="Tamamlandı"/>
    <n v="779541182"/>
    <s v="MI-1592"/>
    <s v="Murad-Sumqayıt Filialina çardırılma"/>
    <n v="1200"/>
    <n v="1800"/>
    <x v="25"/>
    <n v="6000"/>
    <s v="0%"/>
    <s v=""/>
    <s v="Saturday"/>
  </r>
  <r>
    <s v="TX1593"/>
    <x v="45"/>
    <x v="7"/>
    <x v="3"/>
    <x v="3"/>
    <x v="2"/>
    <n v="9"/>
    <s v="Tamamlandı"/>
    <n v="505416994"/>
    <s v="LƏ-1593"/>
    <s v="Leyla-Gəncə Filialina çardırılma"/>
    <n v="600"/>
    <n v="950"/>
    <x v="10"/>
    <n v="3150"/>
    <n v="855"/>
    <s v=""/>
    <s v="Wednesday"/>
  </r>
  <r>
    <s v="TX1594"/>
    <x v="111"/>
    <x v="2"/>
    <x v="3"/>
    <x v="0"/>
    <x v="1"/>
    <n v="7"/>
    <s v="Tamamlandı"/>
    <n v="776485098"/>
    <s v="MI-1594"/>
    <s v="Murad-Sumqayit Filialina çardırılma"/>
    <n v="600"/>
    <n v="950"/>
    <x v="17"/>
    <n v="2450"/>
    <s v="0%"/>
    <s v=""/>
    <s v="Friday"/>
  </r>
  <r>
    <s v="TX1595"/>
    <x v="28"/>
    <x v="4"/>
    <x v="1"/>
    <x v="4"/>
    <x v="2"/>
    <n v="7"/>
    <s v="Tamamlandı"/>
    <n v="708523297"/>
    <s v="EQ-1595"/>
    <s v="Elnur-Naməlum Filialina çardırılma"/>
    <n v="15"/>
    <n v="45"/>
    <x v="34"/>
    <n v="210"/>
    <n v="40.5"/>
    <s v=""/>
    <s v="Sunday"/>
  </r>
  <r>
    <s v="TX1596"/>
    <x v="57"/>
    <x v="3"/>
    <x v="1"/>
    <x v="3"/>
    <x v="2"/>
    <n v="6"/>
    <s v="Tamamlandı"/>
    <n v="515726388"/>
    <s v="NM-1596"/>
    <s v="Nərgin-Gəncə Filialina çardırılma"/>
    <n v="15"/>
    <n v="45"/>
    <x v="31"/>
    <n v="180"/>
    <n v="40.5"/>
    <s v=""/>
    <s v="Thursday"/>
  </r>
  <r>
    <s v="TX1597"/>
    <x v="72"/>
    <x v="3"/>
    <x v="1"/>
    <x v="1"/>
    <x v="0"/>
    <n v="6"/>
    <s v="Tamamlandı"/>
    <n v="775087813"/>
    <s v="NM-1597"/>
    <s v="Nərgin-Bakı Filialina çardırılma"/>
    <n v="15"/>
    <n v="45"/>
    <x v="31"/>
    <n v="180"/>
    <s v="0%"/>
    <d v="2026-02-28T00:00:00"/>
    <s v="Friday"/>
  </r>
  <r>
    <s v="TX1598"/>
    <x v="130"/>
    <x v="4"/>
    <x v="0"/>
    <x v="0"/>
    <x v="2"/>
    <n v="5"/>
    <s v="Tamamlandı"/>
    <n v="506678713"/>
    <s v="EQ-1598"/>
    <s v="Elnur-Sumqayıt Filialina çardırılma"/>
    <n v="1200"/>
    <n v="1800"/>
    <x v="19"/>
    <n v="3000"/>
    <s v="0%"/>
    <s v=""/>
    <s v="Monday"/>
  </r>
  <r>
    <s v="TX1599"/>
    <x v="13"/>
    <x v="5"/>
    <x v="0"/>
    <x v="0"/>
    <x v="1"/>
    <n v="7"/>
    <s v="Tamamlandı"/>
    <n v="556277617"/>
    <s v="ƏM-1599"/>
    <s v="Əli-Sumqayit Filialina çardırılma"/>
    <n v="1200"/>
    <n v="1800"/>
    <x v="9"/>
    <n v="4200"/>
    <s v="0%"/>
    <s v=""/>
    <s v="Monday"/>
  </r>
  <r>
    <s v="TX1600"/>
    <x v="49"/>
    <x v="7"/>
    <x v="0"/>
    <x v="3"/>
    <x v="3"/>
    <n v="10"/>
    <s v="Tamamlandı"/>
    <n v="779027417"/>
    <s v="LƏ-1600"/>
    <s v="Leyla-Gəncə Filialina çardırılma"/>
    <n v="1200"/>
    <n v="1800"/>
    <x v="25"/>
    <n v="6000"/>
    <s v="0%"/>
    <s v=""/>
    <s v="Saturday"/>
  </r>
  <r>
    <s v="TX1601"/>
    <x v="33"/>
    <x v="1"/>
    <x v="0"/>
    <x v="1"/>
    <x v="2"/>
    <n v="9"/>
    <s v="Tamamlandı"/>
    <n v="551113504"/>
    <s v="ZM-1601"/>
    <s v="Zaur-Baki Filialina çardırılma"/>
    <n v="1200"/>
    <n v="1800"/>
    <x v="35"/>
    <n v="5400"/>
    <n v="1620"/>
    <s v=""/>
    <s v="Thursday"/>
  </r>
  <r>
    <s v="TX1602"/>
    <x v="63"/>
    <x v="6"/>
    <x v="3"/>
    <x v="0"/>
    <x v="0"/>
    <n v="4"/>
    <s v="Tamamlandı"/>
    <n v="702616785"/>
    <s v="AV-1602"/>
    <s v="Aysel-Sumqayıt Filialina çardırılma"/>
    <n v="600"/>
    <n v="950"/>
    <x v="29"/>
    <n v="1400"/>
    <s v="0%"/>
    <d v="2026-03-31T00:00:00"/>
    <s v="Tuesday"/>
  </r>
  <r>
    <s v="TX1603"/>
    <x v="141"/>
    <x v="6"/>
    <x v="3"/>
    <x v="1"/>
    <x v="2"/>
    <n v="4"/>
    <s v="Tamamlandı"/>
    <n v="707886705"/>
    <s v="AV-1603"/>
    <s v="Aysel-Bakı Filialina çardırılma"/>
    <n v="600"/>
    <n v="950"/>
    <x v="29"/>
    <n v="1400"/>
    <s v="0%"/>
    <s v=""/>
    <s v="Monday"/>
  </r>
  <r>
    <s v="TX1604"/>
    <x v="80"/>
    <x v="6"/>
    <x v="1"/>
    <x v="2"/>
    <x v="0"/>
    <n v="10"/>
    <s v="Tamamlandı"/>
    <n v="511149019"/>
    <s v="AV-1604"/>
    <s v="Aysel-Gence Filialina çardırılma"/>
    <n v="15"/>
    <n v="45"/>
    <x v="24"/>
    <n v="300"/>
    <s v="0%"/>
    <d v="2026-02-28T00:00:00"/>
    <s v="Friday"/>
  </r>
  <r>
    <s v="TX1605"/>
    <x v="19"/>
    <x v="7"/>
    <x v="3"/>
    <x v="1"/>
    <x v="2"/>
    <n v="2"/>
    <s v="Tamamlandı"/>
    <n v="779698548"/>
    <s v="LƏ-1605"/>
    <s v="Leyla-Baki Filialina çardırılma"/>
    <n v="600"/>
    <n v="950"/>
    <x v="21"/>
    <n v="700"/>
    <s v="0%"/>
    <s v=""/>
    <s v="Sunday"/>
  </r>
  <r>
    <s v="TX1606"/>
    <x v="86"/>
    <x v="6"/>
    <x v="1"/>
    <x v="0"/>
    <x v="0"/>
    <n v="7"/>
    <s v="Tamamlandı"/>
    <n v="518487776"/>
    <s v="AV-1606"/>
    <s v="Aysel-Sumqayit Filialina çardırılma"/>
    <n v="15"/>
    <n v="45"/>
    <x v="34"/>
    <n v="210"/>
    <s v="0%"/>
    <d v="2026-04-30T00:00:00"/>
    <s v="Sunday"/>
  </r>
  <r>
    <s v="TX1607"/>
    <x v="99"/>
    <x v="1"/>
    <x v="1"/>
    <x v="3"/>
    <x v="1"/>
    <n v="3"/>
    <s v="Tamamlandı"/>
    <n v="513957706"/>
    <s v="ZM-1607"/>
    <s v="Zaur-Gəncə Filialina çardırılma"/>
    <n v="15"/>
    <n v="45"/>
    <x v="5"/>
    <n v="90"/>
    <s v="0%"/>
    <s v=""/>
    <s v="Tuesday"/>
  </r>
  <r>
    <s v="TX1608"/>
    <x v="28"/>
    <x v="4"/>
    <x v="3"/>
    <x v="1"/>
    <x v="0"/>
    <n v="7"/>
    <s v="Tamamlandı"/>
    <n v="701463535"/>
    <s v="EQ-1608"/>
    <s v="Elnur-Bakı Filialina çardırılma"/>
    <n v="600"/>
    <n v="950"/>
    <x v="17"/>
    <n v="2450"/>
    <s v="0%"/>
    <d v="2026-01-31T00:00:00"/>
    <s v="Sunday"/>
  </r>
  <r>
    <s v="TX1609"/>
    <x v="41"/>
    <x v="1"/>
    <x v="0"/>
    <x v="1"/>
    <x v="0"/>
    <n v="2"/>
    <s v="Tamamlandı"/>
    <n v="776607462"/>
    <s v="ZM-1609"/>
    <s v="Zaur-Bakı Filialina çardırılma"/>
    <n v="1200"/>
    <n v="1800"/>
    <x v="13"/>
    <n v="1200"/>
    <s v="0%"/>
    <d v="2026-01-31T00:00:00"/>
    <s v="Monday"/>
  </r>
  <r>
    <s v="TX1610"/>
    <x v="106"/>
    <x v="0"/>
    <x v="0"/>
    <x v="3"/>
    <x v="2"/>
    <n v="7"/>
    <s v="Tamamlandı"/>
    <n v="779860327"/>
    <s v="RH-1610"/>
    <s v="Ramil-Gəncə Filialina çardırılma"/>
    <n v="1200"/>
    <n v="1800"/>
    <x v="9"/>
    <n v="4200"/>
    <n v="1620"/>
    <s v=""/>
    <s v="Thursday"/>
  </r>
  <r>
    <s v="TX1611"/>
    <x v="65"/>
    <x v="1"/>
    <x v="1"/>
    <x v="1"/>
    <x v="0"/>
    <n v="7"/>
    <s v="Tamamlandı"/>
    <n v="701650086"/>
    <s v="ZM-1611"/>
    <s v="Zaur-Baki Filialina çardırılma"/>
    <n v="15"/>
    <n v="45"/>
    <x v="34"/>
    <n v="210"/>
    <s v="0%"/>
    <d v="2026-04-30T00:00:00"/>
    <s v="Saturday"/>
  </r>
  <r>
    <s v="TX1612"/>
    <x v="8"/>
    <x v="7"/>
    <x v="0"/>
    <x v="1"/>
    <x v="1"/>
    <n v="2"/>
    <s v="Tamamlandı"/>
    <n v="707890093"/>
    <s v="LƏ-1612"/>
    <s v="Leyla-Bakı Filialina çardırılma"/>
    <n v="1200"/>
    <n v="1800"/>
    <x v="13"/>
    <n v="1200"/>
    <s v="0%"/>
    <s v=""/>
    <s v="Wednesday"/>
  </r>
  <r>
    <s v="TX1613"/>
    <x v="30"/>
    <x v="0"/>
    <x v="3"/>
    <x v="1"/>
    <x v="2"/>
    <n v="6"/>
    <s v="Tamamlandı"/>
    <n v="515326801"/>
    <s v="RH-1613"/>
    <s v="Ramil-Bakı Filialina çardırılma"/>
    <n v="600"/>
    <n v="950"/>
    <x v="15"/>
    <n v="2100"/>
    <n v="855"/>
    <s v=""/>
    <s v="Tuesday"/>
  </r>
  <r>
    <s v="TX1614"/>
    <x v="65"/>
    <x v="4"/>
    <x v="1"/>
    <x v="0"/>
    <x v="1"/>
    <n v="7"/>
    <s v="Tamamlandı"/>
    <n v="515680219"/>
    <s v="EQ-1614"/>
    <s v="Elnur-Sumqayit Filialina çardırılma"/>
    <n v="15"/>
    <n v="45"/>
    <x v="34"/>
    <n v="210"/>
    <s v="0%"/>
    <s v=""/>
    <s v="Saturday"/>
  </r>
  <r>
    <s v="TX1615"/>
    <x v="36"/>
    <x v="1"/>
    <x v="2"/>
    <x v="0"/>
    <x v="2"/>
    <n v="8"/>
    <s v="Tamamlandı"/>
    <n v="772221477"/>
    <s v="ZM-1615"/>
    <s v="Zaur-Sumqayıt Filialina çardırılma"/>
    <n v="400"/>
    <n v="650"/>
    <x v="23"/>
    <n v="2000"/>
    <n v="585"/>
    <s v=""/>
    <s v="Tuesday"/>
  </r>
  <r>
    <s v="TX1616"/>
    <x v="89"/>
    <x v="4"/>
    <x v="3"/>
    <x v="3"/>
    <x v="2"/>
    <n v="10"/>
    <s v="Tamamlandı"/>
    <n v="510936131"/>
    <s v="EQ-1616"/>
    <s v="Elnur-Gəncə Filialina çardırılma"/>
    <n v="600"/>
    <n v="950"/>
    <x v="8"/>
    <n v="3500"/>
    <n v="855"/>
    <s v=""/>
    <s v="Sunday"/>
  </r>
  <r>
    <s v="TX1617"/>
    <x v="56"/>
    <x v="6"/>
    <x v="2"/>
    <x v="2"/>
    <x v="2"/>
    <n v="1"/>
    <s v="Tamamlandı"/>
    <n v="509717234"/>
    <s v="AV-1617"/>
    <s v="Aysel-Gence Filialina çardırılma"/>
    <n v="400"/>
    <n v="650"/>
    <x v="28"/>
    <n v="250"/>
    <s v="0%"/>
    <s v=""/>
    <s v="Sunday"/>
  </r>
  <r>
    <s v="TX1618"/>
    <x v="41"/>
    <x v="1"/>
    <x v="1"/>
    <x v="1"/>
    <x v="0"/>
    <n v="9"/>
    <s v="Tamamlandı"/>
    <n v="776488905"/>
    <s v="ZM-1618"/>
    <s v="Zaur-Bakı Filialina çardırılma"/>
    <n v="15"/>
    <n v="45"/>
    <x v="30"/>
    <n v="270"/>
    <s v="0%"/>
    <d v="2026-01-31T00:00:00"/>
    <s v="Monday"/>
  </r>
  <r>
    <s v="TX1619"/>
    <x v="31"/>
    <x v="2"/>
    <x v="3"/>
    <x v="2"/>
    <x v="1"/>
    <n v="6"/>
    <s v="Tamamlandı"/>
    <n v="505188256"/>
    <s v="MI-1619"/>
    <s v="Murad-Gence Filialina çardırılma"/>
    <n v="600"/>
    <n v="950"/>
    <x v="15"/>
    <n v="2100"/>
    <s v="0%"/>
    <s v=""/>
    <s v="Thursday"/>
  </r>
  <r>
    <s v="TX1620"/>
    <x v="149"/>
    <x v="7"/>
    <x v="1"/>
    <x v="2"/>
    <x v="0"/>
    <n v="6"/>
    <s v="Tamamlandı"/>
    <n v="505217532"/>
    <s v="LƏ-1620"/>
    <s v="Leyla-Gence Filialina çardırılma"/>
    <n v="15"/>
    <n v="45"/>
    <x v="31"/>
    <n v="180"/>
    <s v="0%"/>
    <d v="2026-03-31T00:00:00"/>
    <s v="Thursday"/>
  </r>
  <r>
    <s v="TX1621"/>
    <x v="140"/>
    <x v="7"/>
    <x v="0"/>
    <x v="2"/>
    <x v="0"/>
    <n v="6"/>
    <s v="Tamamlandı"/>
    <n v="518857651"/>
    <s v="LƏ-1621"/>
    <s v="Leyla-Gence Filialina çardırılma"/>
    <n v="1200"/>
    <n v="1800"/>
    <x v="3"/>
    <n v="3600"/>
    <s v="0%"/>
    <d v="2026-05-31T00:00:00"/>
    <s v="Monday"/>
  </r>
  <r>
    <s v="TX1622"/>
    <x v="137"/>
    <x v="3"/>
    <x v="3"/>
    <x v="1"/>
    <x v="0"/>
    <n v="3"/>
    <s v="Tamamlandı"/>
    <n v="514881920"/>
    <s v="NM-1622"/>
    <s v="Nərgin-Bakı Filialina çardırılma"/>
    <n v="600"/>
    <n v="950"/>
    <x v="18"/>
    <n v="1050"/>
    <s v="0%"/>
    <d v="2026-02-28T00:00:00"/>
    <s v="Friday"/>
  </r>
  <r>
    <s v="TX1623"/>
    <x v="109"/>
    <x v="0"/>
    <x v="0"/>
    <x v="0"/>
    <x v="2"/>
    <n v="8"/>
    <s v="Tamamlandı"/>
    <n v="704214754"/>
    <s v="RH-1623"/>
    <s v="Ramil-Sumqayıt Filialina çardırılma"/>
    <n v="1200"/>
    <n v="1800"/>
    <x v="0"/>
    <n v="4800"/>
    <n v="1620"/>
    <s v=""/>
    <s v="Thursday"/>
  </r>
  <r>
    <s v="TX1624"/>
    <x v="76"/>
    <x v="4"/>
    <x v="1"/>
    <x v="3"/>
    <x v="2"/>
    <n v="10"/>
    <s v="Tamamlandı"/>
    <n v="553445212"/>
    <s v="EQ-1624"/>
    <s v="Elnur-Gəncə Filialina çardırılma"/>
    <n v="15"/>
    <n v="45"/>
    <x v="24"/>
    <n v="300"/>
    <n v="40.5"/>
    <s v=""/>
    <s v="Thursday"/>
  </r>
  <r>
    <s v="TX1625"/>
    <x v="72"/>
    <x v="1"/>
    <x v="3"/>
    <x v="3"/>
    <x v="1"/>
    <n v="10"/>
    <s v="Tamamlandı"/>
    <n v="770009796"/>
    <s v="ZM-1625"/>
    <s v="Zaur-Gəncə Filialina çardırılma"/>
    <n v="600"/>
    <n v="950"/>
    <x v="8"/>
    <n v="3500"/>
    <s v="0%"/>
    <s v=""/>
    <s v="Friday"/>
  </r>
  <r>
    <s v="TX1626"/>
    <x v="102"/>
    <x v="2"/>
    <x v="0"/>
    <x v="2"/>
    <x v="0"/>
    <n v="3"/>
    <s v="Tamamlandı"/>
    <n v="553268755"/>
    <s v="MI-1626"/>
    <s v="Murad-Gence Filialina çardırılma"/>
    <n v="1200"/>
    <n v="1800"/>
    <x v="4"/>
    <n v="1800"/>
    <s v="0%"/>
    <d v="2026-03-31T00:00:00"/>
    <s v="Wednesday"/>
  </r>
  <r>
    <s v="TX1627"/>
    <x v="95"/>
    <x v="7"/>
    <x v="3"/>
    <x v="3"/>
    <x v="2"/>
    <n v="3"/>
    <s v="Tamamlandı"/>
    <n v="559674945"/>
    <s v="LƏ-1627"/>
    <s v="Leyla-Gəncə Filialina çardırılma"/>
    <n v="600"/>
    <n v="950"/>
    <x v="18"/>
    <n v="1050"/>
    <s v="0%"/>
    <s v=""/>
    <s v="Saturday"/>
  </r>
  <r>
    <s v="TX1628"/>
    <x v="25"/>
    <x v="6"/>
    <x v="3"/>
    <x v="0"/>
    <x v="0"/>
    <n v="1"/>
    <s v="Tamamlandı"/>
    <n v="709272249"/>
    <s v="AV-1628"/>
    <s v="Aysel-Sumqayit Filialina çardırılma"/>
    <n v="600"/>
    <n v="950"/>
    <x v="16"/>
    <n v="350"/>
    <s v="0%"/>
    <d v="2026-02-28T00:00:00"/>
    <s v="Thursday"/>
  </r>
  <r>
    <s v="TX1629"/>
    <x v="143"/>
    <x v="2"/>
    <x v="3"/>
    <x v="3"/>
    <x v="2"/>
    <n v="3"/>
    <s v="Tamamlandı"/>
    <n v="774204582"/>
    <s v="MI-1629"/>
    <s v="Murad-Gəncə Filialina çardırılma"/>
    <n v="600"/>
    <n v="950"/>
    <x v="18"/>
    <n v="1050"/>
    <s v="0%"/>
    <s v=""/>
    <s v="Wednesday"/>
  </r>
  <r>
    <s v="TX1630"/>
    <x v="66"/>
    <x v="5"/>
    <x v="0"/>
    <x v="4"/>
    <x v="1"/>
    <n v="7"/>
    <s v="Tamamlandı"/>
    <n v="510927749"/>
    <s v="ƏM-1630"/>
    <s v="Əli-Naməlum Filialina çardırılma"/>
    <n v="1200"/>
    <n v="1800"/>
    <x v="9"/>
    <n v="4200"/>
    <s v="0%"/>
    <s v=""/>
    <s v="Friday"/>
  </r>
  <r>
    <s v="TX1631"/>
    <x v="140"/>
    <x v="2"/>
    <x v="1"/>
    <x v="1"/>
    <x v="2"/>
    <n v="3"/>
    <s v="Tamamlandı"/>
    <n v="515661872"/>
    <s v="MI-1631"/>
    <s v="Murad-Bakı Filialina çardırılma"/>
    <n v="15"/>
    <n v="45"/>
    <x v="5"/>
    <n v="90"/>
    <s v="0%"/>
    <s v=""/>
    <s v="Monday"/>
  </r>
  <r>
    <s v="TX1632"/>
    <x v="9"/>
    <x v="6"/>
    <x v="3"/>
    <x v="3"/>
    <x v="2"/>
    <n v="2"/>
    <s v="Tamamlandı"/>
    <n v="701724026"/>
    <s v="AV-1632"/>
    <s v="Aysel-Gəncə Filialina çardırılma"/>
    <n v="600"/>
    <n v="950"/>
    <x v="21"/>
    <n v="700"/>
    <s v="0%"/>
    <s v=""/>
    <s v="Thursday"/>
  </r>
  <r>
    <s v="TX1633"/>
    <x v="5"/>
    <x v="7"/>
    <x v="2"/>
    <x v="1"/>
    <x v="2"/>
    <n v="6"/>
    <s v="Tamamlandı"/>
    <n v="703738938"/>
    <s v="LƏ-1633"/>
    <s v="Leyla-Bakı Filialina çardırılma"/>
    <n v="400"/>
    <n v="650"/>
    <x v="37"/>
    <n v="1500"/>
    <n v="585"/>
    <s v=""/>
    <s v="Wednesday"/>
  </r>
  <r>
    <s v="TX1634"/>
    <x v="2"/>
    <x v="3"/>
    <x v="1"/>
    <x v="1"/>
    <x v="2"/>
    <n v="8"/>
    <s v="Tamamlandı"/>
    <n v="514217305"/>
    <s v="NM-1634"/>
    <s v="Nərgin-Bakı Filialina çardırılma"/>
    <n v="15"/>
    <n v="45"/>
    <x v="14"/>
    <n v="240"/>
    <n v="40.5"/>
    <s v=""/>
    <s v="Tuesday"/>
  </r>
  <r>
    <s v="TX1635"/>
    <x v="139"/>
    <x v="4"/>
    <x v="0"/>
    <x v="0"/>
    <x v="0"/>
    <n v="3"/>
    <s v="Tamamlandı"/>
    <n v="703716008"/>
    <s v="EQ-1635"/>
    <s v="Elnur-Sumqayıt Filialina çardırılma"/>
    <n v="1200"/>
    <n v="1800"/>
    <x v="4"/>
    <n v="1800"/>
    <s v="0%"/>
    <d v="2026-01-31T00:00:00"/>
    <s v="Thursday"/>
  </r>
  <r>
    <s v="TX1636"/>
    <x v="145"/>
    <x v="6"/>
    <x v="1"/>
    <x v="0"/>
    <x v="0"/>
    <n v="6"/>
    <s v="Tamamlandı"/>
    <n v="515859089"/>
    <s v="AV-1636"/>
    <s v="Aysel-Sumqayit Filialina çardırılma"/>
    <n v="15"/>
    <n v="45"/>
    <x v="31"/>
    <n v="180"/>
    <s v="0%"/>
    <d v="2026-01-31T00:00:00"/>
    <s v="Thursday"/>
  </r>
  <r>
    <s v="TX1637"/>
    <x v="107"/>
    <x v="7"/>
    <x v="3"/>
    <x v="3"/>
    <x v="2"/>
    <n v="10"/>
    <s v="Tamamlandı"/>
    <n v="513526011"/>
    <s v="LƏ-1637"/>
    <s v="Leyla-Gəncə Filialina çardırılma"/>
    <n v="600"/>
    <n v="950"/>
    <x v="8"/>
    <n v="3500"/>
    <n v="855"/>
    <s v=""/>
    <s v="Tuesday"/>
  </r>
  <r>
    <s v="TX1638"/>
    <x v="11"/>
    <x v="1"/>
    <x v="1"/>
    <x v="0"/>
    <x v="1"/>
    <n v="2"/>
    <s v="Tamamlandı"/>
    <n v="515087712"/>
    <s v="ZM-1638"/>
    <s v="Zaur-Sumqayıt Filialina çardırılma"/>
    <n v="15"/>
    <n v="45"/>
    <x v="32"/>
    <n v="60"/>
    <s v="0%"/>
    <s v=""/>
    <s v="Wednesday"/>
  </r>
  <r>
    <s v="TX1639"/>
    <x v="93"/>
    <x v="4"/>
    <x v="2"/>
    <x v="1"/>
    <x v="0"/>
    <n v="3"/>
    <s v="Tamamlandı"/>
    <n v="551050102"/>
    <s v="EQ-1639"/>
    <s v="Elnur-Bakı Filialina çardırılma"/>
    <n v="400"/>
    <n v="650"/>
    <x v="38"/>
    <n v="750"/>
    <s v="0%"/>
    <d v="2026-02-28T00:00:00"/>
    <s v="Monday"/>
  </r>
  <r>
    <s v="TX1640"/>
    <x v="99"/>
    <x v="0"/>
    <x v="2"/>
    <x v="1"/>
    <x v="0"/>
    <n v="2"/>
    <s v="Tamamlandı"/>
    <n v="558018016"/>
    <s v="RH-1640"/>
    <s v="Ramil-Baki Filialina çardırılma"/>
    <n v="400"/>
    <n v="650"/>
    <x v="36"/>
    <n v="500"/>
    <s v="0%"/>
    <d v="2026-02-28T00:00:00"/>
    <s v="Tuesday"/>
  </r>
  <r>
    <s v="TX1641"/>
    <x v="26"/>
    <x v="5"/>
    <x v="0"/>
    <x v="1"/>
    <x v="1"/>
    <n v="8"/>
    <s v="Tamamlandı"/>
    <n v="503025983"/>
    <s v="ƏM-1641"/>
    <s v="Əli-Baki Filialina çardırılma"/>
    <n v="1200"/>
    <n v="1800"/>
    <x v="0"/>
    <n v="4800"/>
    <s v="0%"/>
    <s v=""/>
    <s v="Sunday"/>
  </r>
  <r>
    <s v="TX1642"/>
    <x v="101"/>
    <x v="5"/>
    <x v="1"/>
    <x v="0"/>
    <x v="2"/>
    <n v="2"/>
    <s v="Tamamlandı"/>
    <n v="775546324"/>
    <s v="ƏM-1642"/>
    <s v="Əli-Sumqayıt Filialina çardırılma"/>
    <n v="15"/>
    <n v="45"/>
    <x v="32"/>
    <n v="60"/>
    <s v="0%"/>
    <s v=""/>
    <s v="Sunday"/>
  </r>
  <r>
    <s v="TX1643"/>
    <x v="46"/>
    <x v="6"/>
    <x v="1"/>
    <x v="0"/>
    <x v="2"/>
    <n v="4"/>
    <s v="Tamamlandı"/>
    <n v="551444538"/>
    <s v="AV-1643"/>
    <s v="Aysel-Sumqayit Filialina çardırılma"/>
    <n v="15"/>
    <n v="45"/>
    <x v="22"/>
    <n v="120"/>
    <s v="0%"/>
    <s v=""/>
    <s v="Wednesday"/>
  </r>
  <r>
    <s v="TX1644"/>
    <x v="19"/>
    <x v="2"/>
    <x v="0"/>
    <x v="2"/>
    <x v="2"/>
    <n v="6"/>
    <s v="Tamamlandı"/>
    <n v="513364810"/>
    <s v="MI-1644"/>
    <s v="Murad-Gence Filialina çardırılma"/>
    <n v="1200"/>
    <n v="1800"/>
    <x v="3"/>
    <n v="3600"/>
    <n v="1620"/>
    <s v=""/>
    <s v="Sunday"/>
  </r>
  <r>
    <s v="TX1645"/>
    <x v="63"/>
    <x v="4"/>
    <x v="0"/>
    <x v="1"/>
    <x v="0"/>
    <n v="3"/>
    <s v="Tamamlandı"/>
    <n v="556363085"/>
    <s v="EQ-1645"/>
    <s v="Elnur-Bakı Filialina çardırılma"/>
    <n v="1200"/>
    <n v="1800"/>
    <x v="4"/>
    <n v="1800"/>
    <s v="0%"/>
    <d v="2026-03-31T00:00:00"/>
    <s v="Tuesday"/>
  </r>
  <r>
    <s v="TX1646"/>
    <x v="138"/>
    <x v="7"/>
    <x v="1"/>
    <x v="2"/>
    <x v="2"/>
    <n v="4"/>
    <s v="Tamamlandı"/>
    <n v="519443333"/>
    <s v="LƏ-1646"/>
    <s v="Leyla-Gence Filialina çardırılma"/>
    <n v="15"/>
    <n v="45"/>
    <x v="22"/>
    <n v="120"/>
    <s v="0%"/>
    <s v=""/>
    <s v="Tuesday"/>
  </r>
  <r>
    <s v="TX1647"/>
    <x v="73"/>
    <x v="7"/>
    <x v="1"/>
    <x v="0"/>
    <x v="2"/>
    <n v="2"/>
    <s v="Tamamlandı"/>
    <n v="773574445"/>
    <s v="LƏ-1647"/>
    <s v="Leyla-Sumqayit Filialina çardırılma"/>
    <n v="15"/>
    <n v="45"/>
    <x v="32"/>
    <n v="60"/>
    <s v="0%"/>
    <s v=""/>
    <s v="Tuesday"/>
  </r>
  <r>
    <s v="TX1648"/>
    <x v="135"/>
    <x v="6"/>
    <x v="3"/>
    <x v="3"/>
    <x v="2"/>
    <n v="9"/>
    <s v="Tamamlandı"/>
    <n v="707684866"/>
    <s v="AV-1648"/>
    <s v="Aysel-Gəncə Filialina çardırılma"/>
    <n v="600"/>
    <n v="950"/>
    <x v="10"/>
    <n v="3150"/>
    <n v="855"/>
    <s v=""/>
    <s v="Saturday"/>
  </r>
  <r>
    <s v="TX1649"/>
    <x v="121"/>
    <x v="1"/>
    <x v="0"/>
    <x v="2"/>
    <x v="0"/>
    <n v="9"/>
    <s v="Tamamlandı"/>
    <n v="558691304"/>
    <s v="ZM-1649"/>
    <s v="Zaur-Gence Filialina çardırılma"/>
    <n v="1200"/>
    <n v="1800"/>
    <x v="35"/>
    <n v="5400"/>
    <s v="0%"/>
    <d v="2026-05-31T00:00:00"/>
    <s v="Saturday"/>
  </r>
  <r>
    <s v="TX1650"/>
    <x v="52"/>
    <x v="2"/>
    <x v="1"/>
    <x v="0"/>
    <x v="2"/>
    <n v="9"/>
    <s v="Tamamlandı"/>
    <n v="514639005"/>
    <s v="MI-1650"/>
    <s v="Murad-Sumqayit Filialina çardırılma"/>
    <n v="15"/>
    <n v="45"/>
    <x v="30"/>
    <n v="270"/>
    <n v="40.5"/>
    <s v=""/>
    <s v="Friday"/>
  </r>
  <r>
    <s v="TX1651"/>
    <x v="25"/>
    <x v="4"/>
    <x v="0"/>
    <x v="2"/>
    <x v="2"/>
    <n v="6"/>
    <s v="Tamamlandı"/>
    <n v="700839724"/>
    <s v="EQ-1651"/>
    <s v="Elnur-Gence Filialina çardırılma"/>
    <n v="1200"/>
    <n v="1800"/>
    <x v="3"/>
    <n v="3600"/>
    <n v="1620"/>
    <s v=""/>
    <s v="Thursday"/>
  </r>
  <r>
    <s v="TX1652"/>
    <x v="3"/>
    <x v="2"/>
    <x v="2"/>
    <x v="1"/>
    <x v="0"/>
    <n v="4"/>
    <s v="Tamamlandı"/>
    <n v="703356253"/>
    <s v="MI-1652"/>
    <s v="Murad-Bakı Filialina çardırılma"/>
    <n v="400"/>
    <n v="650"/>
    <x v="20"/>
    <n v="1000"/>
    <s v="0%"/>
    <d v="2026-05-31T00:00:00"/>
    <s v="Friday"/>
  </r>
  <r>
    <s v="TX1653"/>
    <x v="131"/>
    <x v="7"/>
    <x v="3"/>
    <x v="2"/>
    <x v="2"/>
    <n v="10"/>
    <s v="Tamamlandı"/>
    <n v="778228646"/>
    <s v="LƏ-1653"/>
    <s v="Leyla-Gence Filialina çardırılma"/>
    <n v="600"/>
    <n v="950"/>
    <x v="8"/>
    <n v="3500"/>
    <n v="855"/>
    <s v=""/>
    <s v="Thursday"/>
  </r>
  <r>
    <s v="TX1654"/>
    <x v="131"/>
    <x v="7"/>
    <x v="0"/>
    <x v="1"/>
    <x v="2"/>
    <n v="2"/>
    <s v="Tamamlandı"/>
    <n v="518821392"/>
    <s v="LƏ-1654"/>
    <s v="Leyla-Baki Filialina çardırılma"/>
    <n v="1200"/>
    <n v="1800"/>
    <x v="13"/>
    <n v="1200"/>
    <s v="0%"/>
    <s v=""/>
    <s v="Thursday"/>
  </r>
  <r>
    <s v="TX1655"/>
    <x v="71"/>
    <x v="7"/>
    <x v="2"/>
    <x v="0"/>
    <x v="2"/>
    <n v="7"/>
    <s v="Tamamlandı"/>
    <n v="513345524"/>
    <s v="LƏ-1655"/>
    <s v="Leyla-Sumqayıt Filialina çardırılma"/>
    <n v="400"/>
    <n v="650"/>
    <x v="39"/>
    <n v="1750"/>
    <n v="585"/>
    <s v=""/>
    <s v="Monday"/>
  </r>
  <r>
    <s v="TX1656"/>
    <x v="138"/>
    <x v="6"/>
    <x v="1"/>
    <x v="1"/>
    <x v="1"/>
    <n v="6"/>
    <s v="Tamamlandı"/>
    <n v="517442502"/>
    <s v="AV-1656"/>
    <s v="Aysel-Baki Filialina çardırılma"/>
    <n v="15"/>
    <n v="45"/>
    <x v="31"/>
    <n v="180"/>
    <s v="0%"/>
    <s v=""/>
    <s v="Tuesday"/>
  </r>
  <r>
    <s v="TX1657"/>
    <x v="120"/>
    <x v="1"/>
    <x v="3"/>
    <x v="0"/>
    <x v="2"/>
    <n v="3"/>
    <s v="Tamamlandı"/>
    <n v="509390950"/>
    <s v="ZM-1657"/>
    <s v="Zaur-Sumqayıt Filialina çardırılma"/>
    <n v="600"/>
    <n v="950"/>
    <x v="18"/>
    <n v="1050"/>
    <s v="0%"/>
    <s v=""/>
    <s v="Thursday"/>
  </r>
  <r>
    <s v="TX1658"/>
    <x v="92"/>
    <x v="1"/>
    <x v="1"/>
    <x v="1"/>
    <x v="1"/>
    <n v="3"/>
    <s v="Tamamlandı"/>
    <n v="502450573"/>
    <s v="ZM-1658"/>
    <s v="Zaur-Baki Filialina çardırılma"/>
    <n v="15"/>
    <n v="45"/>
    <x v="5"/>
    <n v="90"/>
    <s v="0%"/>
    <s v=""/>
    <s v="Saturday"/>
  </r>
  <r>
    <s v="TX1659"/>
    <x v="20"/>
    <x v="2"/>
    <x v="1"/>
    <x v="0"/>
    <x v="2"/>
    <n v="1"/>
    <s v="Tamamlandı"/>
    <n v="518247216"/>
    <s v="MI-1659"/>
    <s v="Murad-Sumqayit Filialina çardırılma"/>
    <n v="15"/>
    <n v="45"/>
    <x v="2"/>
    <n v="30"/>
    <s v="0%"/>
    <s v=""/>
    <s v="Wednesday"/>
  </r>
  <r>
    <s v="TX1660"/>
    <x v="96"/>
    <x v="6"/>
    <x v="2"/>
    <x v="3"/>
    <x v="3"/>
    <n v="10"/>
    <s v="Tamamlandı"/>
    <n v="700666501"/>
    <s v="AV-1660"/>
    <s v="Aysel-Gəncə Filialina çardırılma"/>
    <n v="400"/>
    <n v="650"/>
    <x v="6"/>
    <n v="2500"/>
    <s v="0%"/>
    <s v=""/>
    <s v="Thursday"/>
  </r>
  <r>
    <s v="TX1661"/>
    <x v="86"/>
    <x v="5"/>
    <x v="0"/>
    <x v="1"/>
    <x v="0"/>
    <n v="3"/>
    <s v="Tamamlandı"/>
    <n v="706117186"/>
    <s v="ƏM-1661"/>
    <s v="Əli-Baki Filialina çardırılma"/>
    <n v="1200"/>
    <n v="1800"/>
    <x v="4"/>
    <n v="1800"/>
    <s v="0%"/>
    <d v="2026-04-30T00:00:00"/>
    <s v="Sunday"/>
  </r>
  <r>
    <s v="TX1662"/>
    <x v="23"/>
    <x v="2"/>
    <x v="2"/>
    <x v="0"/>
    <x v="2"/>
    <n v="7"/>
    <s v="Tamamlandı"/>
    <n v="559976520"/>
    <s v="MI-1662"/>
    <s v="Murad-Sumqayıt Filialina çardırılma"/>
    <n v="400"/>
    <n v="650"/>
    <x v="39"/>
    <n v="1750"/>
    <n v="585"/>
    <s v=""/>
    <s v="Friday"/>
  </r>
  <r>
    <s v="TX1663"/>
    <x v="50"/>
    <x v="3"/>
    <x v="3"/>
    <x v="1"/>
    <x v="1"/>
    <n v="7"/>
    <s v="Tamamlandı"/>
    <n v="507019667"/>
    <s v="NM-1663"/>
    <s v="Nərgin-Baki Filialina çardırılma"/>
    <n v="600"/>
    <n v="950"/>
    <x v="17"/>
    <n v="2450"/>
    <s v="0%"/>
    <s v=""/>
    <s v="Wednesday"/>
  </r>
  <r>
    <s v="TX1664"/>
    <x v="34"/>
    <x v="7"/>
    <x v="0"/>
    <x v="2"/>
    <x v="2"/>
    <n v="6"/>
    <s v="Tamamlandı"/>
    <n v="778116255"/>
    <s v="LƏ-1664"/>
    <s v="Leyla-Gence Filialina çardırılma"/>
    <n v="1200"/>
    <n v="1800"/>
    <x v="3"/>
    <n v="3600"/>
    <n v="1620"/>
    <s v=""/>
    <s v="Wednesday"/>
  </r>
  <r>
    <s v="TX1665"/>
    <x v="100"/>
    <x v="3"/>
    <x v="2"/>
    <x v="4"/>
    <x v="1"/>
    <n v="7"/>
    <s v="Tamamlandı"/>
    <n v="509108749"/>
    <s v="NM-1665"/>
    <s v="Nərgin-Naməlum Filialina çardırılma"/>
    <n v="400"/>
    <n v="650"/>
    <x v="39"/>
    <n v="1750"/>
    <s v="0%"/>
    <s v=""/>
    <s v="Tuesday"/>
  </r>
  <r>
    <s v="TX1666"/>
    <x v="116"/>
    <x v="5"/>
    <x v="1"/>
    <x v="1"/>
    <x v="0"/>
    <n v="1"/>
    <s v="Tamamlandı"/>
    <n v="552709355"/>
    <s v="ƏM-1666"/>
    <s v="Əli-Bakı Filialina çardırılma"/>
    <n v="15"/>
    <n v="45"/>
    <x v="2"/>
    <n v="30"/>
    <s v="0%"/>
    <d v="2026-03-31T00:00:00"/>
    <s v="Saturday"/>
  </r>
  <r>
    <s v="TX1667"/>
    <x v="52"/>
    <x v="6"/>
    <x v="3"/>
    <x v="1"/>
    <x v="0"/>
    <n v="5"/>
    <s v="Tamamlandı"/>
    <n v="556415866"/>
    <s v="AV-1667"/>
    <s v="Aysel-Bakı Filialina çardırılma"/>
    <n v="600"/>
    <n v="950"/>
    <x v="26"/>
    <n v="1750"/>
    <s v="0%"/>
    <d v="2026-05-31T00:00:00"/>
    <s v="Friday"/>
  </r>
  <r>
    <s v="TX1668"/>
    <x v="85"/>
    <x v="5"/>
    <x v="2"/>
    <x v="3"/>
    <x v="0"/>
    <n v="3"/>
    <s v="Tamamlandı"/>
    <n v="771109719"/>
    <s v="ƏM-1668"/>
    <s v="Əli-Gəncə Filialina çardırılma"/>
    <n v="400"/>
    <n v="650"/>
    <x v="38"/>
    <n v="750"/>
    <s v="0%"/>
    <d v="2026-04-30T00:00:00"/>
    <s v="Thursday"/>
  </r>
  <r>
    <s v="TX1669"/>
    <x v="104"/>
    <x v="3"/>
    <x v="1"/>
    <x v="1"/>
    <x v="1"/>
    <n v="4"/>
    <s v="Tamamlandı"/>
    <n v="550478332"/>
    <s v="NM-1669"/>
    <s v="Nərgin-Baki Filialina çardırılma"/>
    <n v="15"/>
    <n v="45"/>
    <x v="22"/>
    <n v="120"/>
    <s v="0%"/>
    <s v=""/>
    <s v="Tuesday"/>
  </r>
  <r>
    <s v="TX1670"/>
    <x v="116"/>
    <x v="6"/>
    <x v="2"/>
    <x v="0"/>
    <x v="0"/>
    <n v="2"/>
    <s v="Tamamlandı"/>
    <n v="511069071"/>
    <s v="AV-1670"/>
    <s v="Aysel-Sumqayıt Filialina çardırılma"/>
    <n v="400"/>
    <n v="650"/>
    <x v="36"/>
    <n v="500"/>
    <s v="0%"/>
    <d v="2026-03-31T00:00:00"/>
    <s v="Saturday"/>
  </r>
  <r>
    <s v="TX1671"/>
    <x v="93"/>
    <x v="7"/>
    <x v="2"/>
    <x v="0"/>
    <x v="1"/>
    <n v="3"/>
    <s v="Tamamlandı"/>
    <n v="511455161"/>
    <s v="LƏ-1671"/>
    <s v="Leyla-Sumqayıt Filialina çardırılma"/>
    <n v="400"/>
    <n v="650"/>
    <x v="38"/>
    <n v="750"/>
    <s v="0%"/>
    <s v=""/>
    <s v="Monday"/>
  </r>
  <r>
    <s v="TX1672"/>
    <x v="26"/>
    <x v="4"/>
    <x v="1"/>
    <x v="1"/>
    <x v="2"/>
    <n v="6"/>
    <s v="Tamamlandı"/>
    <n v="703049586"/>
    <s v="EQ-1672"/>
    <s v="Elnur-Baki Filialina çardırılma"/>
    <n v="15"/>
    <n v="45"/>
    <x v="31"/>
    <n v="180"/>
    <n v="40.5"/>
    <s v=""/>
    <s v="Sunday"/>
  </r>
  <r>
    <s v="TX1673"/>
    <x v="64"/>
    <x v="6"/>
    <x v="1"/>
    <x v="0"/>
    <x v="0"/>
    <n v="1"/>
    <s v="Tamamlandı"/>
    <n v="504436804"/>
    <s v="AV-1673"/>
    <s v="Aysel-Sumqayıt Filialina çardırılma"/>
    <n v="15"/>
    <n v="45"/>
    <x v="2"/>
    <n v="30"/>
    <s v="0%"/>
    <d v="2026-03-31T00:00:00"/>
    <s v="Friday"/>
  </r>
  <r>
    <s v="TX1674"/>
    <x v="34"/>
    <x v="2"/>
    <x v="0"/>
    <x v="3"/>
    <x v="2"/>
    <n v="4"/>
    <s v="Tamamlandı"/>
    <n v="551826321"/>
    <s v="MI-1674"/>
    <s v="Murad-Gəncə Filialina çardırılma"/>
    <n v="1200"/>
    <n v="1800"/>
    <x v="27"/>
    <n v="2400"/>
    <s v="0%"/>
    <s v=""/>
    <s v="Wednesday"/>
  </r>
  <r>
    <s v="TX1675"/>
    <x v="24"/>
    <x v="3"/>
    <x v="0"/>
    <x v="2"/>
    <x v="0"/>
    <n v="6"/>
    <s v="Tamamlandı"/>
    <n v="778153541"/>
    <s v="NM-1675"/>
    <s v="Nərgin-Gence Filialina çardırılma"/>
    <n v="1200"/>
    <n v="1800"/>
    <x v="3"/>
    <n v="3600"/>
    <s v="0%"/>
    <d v="2026-03-31T00:00:00"/>
    <s v="Monday"/>
  </r>
  <r>
    <s v="TX1676"/>
    <x v="88"/>
    <x v="6"/>
    <x v="1"/>
    <x v="0"/>
    <x v="1"/>
    <n v="7"/>
    <s v="Tamamlandı"/>
    <n v="704260977"/>
    <s v="AV-1676"/>
    <s v="Aysel-Sumqayit Filialina çardırılma"/>
    <n v="15"/>
    <n v="45"/>
    <x v="34"/>
    <n v="210"/>
    <s v="0%"/>
    <s v=""/>
    <s v="Monday"/>
  </r>
  <r>
    <s v="TX1677"/>
    <x v="126"/>
    <x v="7"/>
    <x v="1"/>
    <x v="0"/>
    <x v="2"/>
    <n v="8"/>
    <s v="Tamamlandı"/>
    <n v="700470012"/>
    <s v="LƏ-1677"/>
    <s v="Leyla-Sumqayit Filialina çardırılma"/>
    <n v="15"/>
    <n v="45"/>
    <x v="14"/>
    <n v="240"/>
    <n v="40.5"/>
    <s v=""/>
    <s v="Friday"/>
  </r>
  <r>
    <s v="TX1678"/>
    <x v="21"/>
    <x v="6"/>
    <x v="1"/>
    <x v="0"/>
    <x v="1"/>
    <n v="3"/>
    <s v="Tamamlandı"/>
    <n v="706381231"/>
    <s v="AV-1678"/>
    <s v="Aysel-Sumqayit Filialina çardırılma"/>
    <n v="15"/>
    <n v="45"/>
    <x v="5"/>
    <n v="90"/>
    <s v="0%"/>
    <s v=""/>
    <s v="Sunday"/>
  </r>
  <r>
    <s v="TX1679"/>
    <x v="98"/>
    <x v="7"/>
    <x v="0"/>
    <x v="0"/>
    <x v="0"/>
    <n v="8"/>
    <s v="Tamamlandı"/>
    <n v="505365890"/>
    <s v="LƏ-1679"/>
    <s v="Leyla-Sumqayit Filialina çardırılma"/>
    <n v="1200"/>
    <n v="1800"/>
    <x v="0"/>
    <n v="4800"/>
    <s v="0%"/>
    <d v="2026-03-31T00:00:00"/>
    <s v="Friday"/>
  </r>
  <r>
    <s v="TX1680"/>
    <x v="122"/>
    <x v="7"/>
    <x v="3"/>
    <x v="0"/>
    <x v="0"/>
    <n v="5"/>
    <s v="Tamamlandı"/>
    <n v="777400070"/>
    <s v="LƏ-1680"/>
    <s v="Leyla-Sumqayit Filialina çardırılma"/>
    <n v="600"/>
    <n v="950"/>
    <x v="26"/>
    <n v="1750"/>
    <s v="0%"/>
    <d v="2026-06-30T00:00:00"/>
    <s v="Monday"/>
  </r>
  <r>
    <s v="TX1681"/>
    <x v="45"/>
    <x v="4"/>
    <x v="2"/>
    <x v="2"/>
    <x v="2"/>
    <n v="6"/>
    <s v="Tamamlandı"/>
    <n v="551794870"/>
    <s v="EQ-1681"/>
    <s v="Elnur-Gence Filialina çardırılma"/>
    <n v="400"/>
    <n v="650"/>
    <x v="37"/>
    <n v="1500"/>
    <n v="585"/>
    <s v=""/>
    <s v="Wednesday"/>
  </r>
  <r>
    <s v="TX1682"/>
    <x v="125"/>
    <x v="6"/>
    <x v="1"/>
    <x v="0"/>
    <x v="2"/>
    <n v="3"/>
    <s v="Tamamlandı"/>
    <n v="517274584"/>
    <s v="AV-1682"/>
    <s v="Aysel-Sumqayıt Filialina çardırılma"/>
    <n v="15"/>
    <n v="45"/>
    <x v="5"/>
    <n v="90"/>
    <s v="0%"/>
    <s v=""/>
    <s v="Saturday"/>
  </r>
  <r>
    <s v="TX1683"/>
    <x v="14"/>
    <x v="6"/>
    <x v="2"/>
    <x v="0"/>
    <x v="2"/>
    <n v="3"/>
    <s v="Tamamlandı"/>
    <n v="511632687"/>
    <s v="AV-1683"/>
    <s v="Aysel-Sumqayit Filialina çardırılma"/>
    <n v="400"/>
    <n v="650"/>
    <x v="38"/>
    <n v="750"/>
    <s v="0%"/>
    <s v=""/>
    <s v="Tuesday"/>
  </r>
  <r>
    <s v="TX1684"/>
    <x v="40"/>
    <x v="4"/>
    <x v="0"/>
    <x v="0"/>
    <x v="2"/>
    <n v="7"/>
    <s v="Tamamlandı"/>
    <n v="551409573"/>
    <s v="EQ-1684"/>
    <s v="Elnur-Sumqayıt Filialina çardırılma"/>
    <n v="1200"/>
    <n v="1800"/>
    <x v="9"/>
    <n v="4200"/>
    <n v="1620"/>
    <s v=""/>
    <s v="Friday"/>
  </r>
  <r>
    <s v="TX1685"/>
    <x v="3"/>
    <x v="5"/>
    <x v="3"/>
    <x v="3"/>
    <x v="1"/>
    <n v="5"/>
    <s v="Tamamlandı"/>
    <n v="511898208"/>
    <s v="ƏM-1685"/>
    <s v="Əli-Gəncə Filialina çardırılma"/>
    <n v="600"/>
    <n v="950"/>
    <x v="26"/>
    <n v="1750"/>
    <s v="0%"/>
    <s v=""/>
    <s v="Friday"/>
  </r>
  <r>
    <s v="TX1686"/>
    <x v="41"/>
    <x v="6"/>
    <x v="0"/>
    <x v="0"/>
    <x v="0"/>
    <n v="9"/>
    <s v="Tamamlandı"/>
    <n v="550447918"/>
    <s v="AV-1686"/>
    <s v="Aysel-Sumqayıt Filialina çardırılma"/>
    <n v="1200"/>
    <n v="1800"/>
    <x v="35"/>
    <n v="5400"/>
    <s v="0%"/>
    <d v="2026-01-31T00:00:00"/>
    <s v="Monday"/>
  </r>
  <r>
    <s v="TX1687"/>
    <x v="110"/>
    <x v="5"/>
    <x v="0"/>
    <x v="3"/>
    <x v="1"/>
    <n v="10"/>
    <s v="Tamamlandı"/>
    <n v="503251687"/>
    <s v="ƏM-1687"/>
    <s v="Əli-Gəncə Filialina çardırılma"/>
    <n v="1200"/>
    <n v="1800"/>
    <x v="25"/>
    <n v="6000"/>
    <s v="0%"/>
    <s v=""/>
    <s v="Saturday"/>
  </r>
  <r>
    <s v="TX1688"/>
    <x v="125"/>
    <x v="6"/>
    <x v="3"/>
    <x v="2"/>
    <x v="1"/>
    <n v="5"/>
    <s v="Tamamlandı"/>
    <n v="518100733"/>
    <s v="AV-1688"/>
    <s v="Aysel-Gence Filialina çardırılma"/>
    <n v="600"/>
    <n v="950"/>
    <x v="26"/>
    <n v="1750"/>
    <s v="0%"/>
    <s v=""/>
    <s v="Saturday"/>
  </r>
  <r>
    <s v="TX1689"/>
    <x v="102"/>
    <x v="5"/>
    <x v="3"/>
    <x v="2"/>
    <x v="0"/>
    <n v="8"/>
    <s v="Tamamlandı"/>
    <n v="701067443"/>
    <s v="ƏM-1689"/>
    <s v="Əli-Gence Filialina çardırılma"/>
    <n v="600"/>
    <n v="950"/>
    <x v="7"/>
    <n v="2800"/>
    <s v="0%"/>
    <d v="2026-03-31T00:00:00"/>
    <s v="Wednesday"/>
  </r>
  <r>
    <s v="TX1690"/>
    <x v="107"/>
    <x v="3"/>
    <x v="1"/>
    <x v="1"/>
    <x v="2"/>
    <n v="4"/>
    <s v="Tamamlandı"/>
    <n v="770710138"/>
    <s v="NM-1690"/>
    <s v="Nərgin-Baki Filialina çardırılma"/>
    <n v="15"/>
    <n v="45"/>
    <x v="22"/>
    <n v="120"/>
    <s v="0%"/>
    <s v=""/>
    <s v="Tuesday"/>
  </r>
  <r>
    <s v="TX1691"/>
    <x v="94"/>
    <x v="4"/>
    <x v="1"/>
    <x v="0"/>
    <x v="0"/>
    <n v="9"/>
    <s v="Tamamlandı"/>
    <n v="702239895"/>
    <s v="EQ-1691"/>
    <s v="Elnur-Sumqayit Filialina çardırılma"/>
    <n v="15"/>
    <n v="45"/>
    <x v="30"/>
    <n v="270"/>
    <s v="0%"/>
    <d v="2026-04-30T00:00:00"/>
    <s v="Sunday"/>
  </r>
  <r>
    <s v="TX1692"/>
    <x v="18"/>
    <x v="1"/>
    <x v="0"/>
    <x v="1"/>
    <x v="2"/>
    <n v="1"/>
    <s v="Tamamlandı"/>
    <n v="776577922"/>
    <s v="ZM-1692"/>
    <s v="Zaur-Bakı Filialina çardırılma"/>
    <n v="1200"/>
    <n v="1800"/>
    <x v="11"/>
    <n v="600"/>
    <s v="0%"/>
    <s v=""/>
    <s v="Saturday"/>
  </r>
  <r>
    <s v="TX1693"/>
    <x v="48"/>
    <x v="3"/>
    <x v="3"/>
    <x v="0"/>
    <x v="2"/>
    <n v="5"/>
    <s v="Tamamlandı"/>
    <n v="501665571"/>
    <s v="NM-1693"/>
    <s v="Nərgin-Sumqayit Filialina çardırılma"/>
    <n v="600"/>
    <n v="950"/>
    <x v="26"/>
    <n v="1750"/>
    <s v="0%"/>
    <s v=""/>
    <s v="Friday"/>
  </r>
  <r>
    <s v="TX1694"/>
    <x v="93"/>
    <x v="3"/>
    <x v="3"/>
    <x v="2"/>
    <x v="0"/>
    <n v="1"/>
    <s v="Tamamlandı"/>
    <n v="509303824"/>
    <s v="NM-1694"/>
    <s v="Nərgin-Gence Filialina çardırılma"/>
    <n v="600"/>
    <n v="950"/>
    <x v="16"/>
    <n v="350"/>
    <s v="0%"/>
    <d v="2026-02-28T00:00:00"/>
    <s v="Monday"/>
  </r>
  <r>
    <s v="TX1695"/>
    <x v="143"/>
    <x v="6"/>
    <x v="3"/>
    <x v="2"/>
    <x v="2"/>
    <n v="7"/>
    <s v="Tamamlandı"/>
    <n v="559480677"/>
    <s v="AV-1695"/>
    <s v="Aysel-Gence Filialina çardırılma"/>
    <n v="600"/>
    <n v="950"/>
    <x v="17"/>
    <n v="2450"/>
    <n v="855"/>
    <s v=""/>
    <s v="Wednesday"/>
  </r>
  <r>
    <s v="TX1696"/>
    <x v="29"/>
    <x v="5"/>
    <x v="2"/>
    <x v="0"/>
    <x v="1"/>
    <n v="10"/>
    <s v="Tamamlandı"/>
    <n v="516059894"/>
    <s v="ƏM-1696"/>
    <s v="Əli-Sumqayit Filialina çardırılma"/>
    <n v="400"/>
    <n v="650"/>
    <x v="6"/>
    <n v="2500"/>
    <s v="0%"/>
    <s v=""/>
    <s v="Monday"/>
  </r>
  <r>
    <s v="TX1697"/>
    <x v="5"/>
    <x v="4"/>
    <x v="2"/>
    <x v="1"/>
    <x v="0"/>
    <n v="2"/>
    <s v="Tamamlandı"/>
    <n v="557191613"/>
    <s v="EQ-1697"/>
    <s v="Elnur-Baki Filialina çardırılma"/>
    <n v="400"/>
    <n v="650"/>
    <x v="36"/>
    <n v="500"/>
    <s v="0%"/>
    <d v="2026-01-31T00:00:00"/>
    <s v="Wednesday"/>
  </r>
  <r>
    <s v="TX1698"/>
    <x v="86"/>
    <x v="2"/>
    <x v="3"/>
    <x v="3"/>
    <x v="0"/>
    <n v="3"/>
    <s v="Tamamlandı"/>
    <n v="775070712"/>
    <s v="MI-1698"/>
    <s v="Murad-Gəncə Filialina çardırılma"/>
    <n v="600"/>
    <n v="950"/>
    <x v="18"/>
    <n v="1050"/>
    <s v="0%"/>
    <d v="2026-04-30T00:00:00"/>
    <s v="Sunday"/>
  </r>
  <r>
    <s v="TX1699"/>
    <x v="11"/>
    <x v="2"/>
    <x v="0"/>
    <x v="1"/>
    <x v="0"/>
    <n v="10"/>
    <s v="Tamamlandı"/>
    <n v="704659839"/>
    <s v="MI-1699"/>
    <s v="Murad-Bakı Filialina çardırılma"/>
    <n v="1200"/>
    <n v="1800"/>
    <x v="25"/>
    <n v="6000"/>
    <s v="0%"/>
    <d v="2026-02-28T00:00:00"/>
    <s v="Wednesday"/>
  </r>
  <r>
    <s v="TX1700"/>
    <x v="21"/>
    <x v="5"/>
    <x v="0"/>
    <x v="4"/>
    <x v="2"/>
    <n v="9"/>
    <s v="Tamamlandı"/>
    <n v="775657098"/>
    <s v="ƏM-1700"/>
    <s v="Əli-Naməlum Filialina çardırılma"/>
    <n v="1200"/>
    <n v="1800"/>
    <x v="35"/>
    <n v="5400"/>
    <n v="1620"/>
    <s v=""/>
    <s v="Sunday"/>
  </r>
  <r>
    <s v="TX1701"/>
    <x v="29"/>
    <x v="3"/>
    <x v="0"/>
    <x v="3"/>
    <x v="0"/>
    <n v="1"/>
    <s v="Tamamlandı"/>
    <n v="778911369"/>
    <s v="NM-1701"/>
    <s v="Nərgin-Gəncə Filialina çardırılma"/>
    <n v="1200"/>
    <n v="1800"/>
    <x v="11"/>
    <n v="600"/>
    <s v="0%"/>
    <d v="2026-05-31T00:00:00"/>
    <s v="Monday"/>
  </r>
  <r>
    <s v="TX1702"/>
    <x v="146"/>
    <x v="6"/>
    <x v="0"/>
    <x v="0"/>
    <x v="2"/>
    <n v="2"/>
    <s v="Tamamlandı"/>
    <n v="773010322"/>
    <s v="AV-1702"/>
    <s v="Aysel-Sumqayıt Filialina çardırılma"/>
    <n v="1200"/>
    <n v="1800"/>
    <x v="13"/>
    <n v="1200"/>
    <s v="0%"/>
    <s v=""/>
    <s v="Tuesday"/>
  </r>
  <r>
    <s v="TX1703"/>
    <x v="33"/>
    <x v="7"/>
    <x v="0"/>
    <x v="0"/>
    <x v="0"/>
    <n v="10"/>
    <s v="Tamamlandı"/>
    <n v="700920342"/>
    <s v="LƏ-1703"/>
    <s v="Leyla-Sumqayıt Filialina çardırılma"/>
    <n v="1200"/>
    <n v="1800"/>
    <x v="25"/>
    <n v="6000"/>
    <s v="0%"/>
    <d v="2026-03-31T00:00:00"/>
    <s v="Thursday"/>
  </r>
  <r>
    <s v="TX1704"/>
    <x v="59"/>
    <x v="6"/>
    <x v="1"/>
    <x v="2"/>
    <x v="1"/>
    <n v="7"/>
    <s v="Tamamlandı"/>
    <n v="554125835"/>
    <s v="AV-1704"/>
    <s v="Aysel-Gence Filialina çardırılma"/>
    <n v="15"/>
    <n v="45"/>
    <x v="34"/>
    <n v="210"/>
    <s v="0%"/>
    <s v=""/>
    <s v="Saturday"/>
  </r>
  <r>
    <s v="TX1705"/>
    <x v="109"/>
    <x v="6"/>
    <x v="0"/>
    <x v="0"/>
    <x v="2"/>
    <n v="9"/>
    <s v="Tamamlandı"/>
    <n v="705606794"/>
    <s v="AV-1705"/>
    <s v="Aysel-Sumqayit Filialina çardırılma"/>
    <n v="1200"/>
    <n v="1800"/>
    <x v="35"/>
    <n v="5400"/>
    <n v="1620"/>
    <s v=""/>
    <s v="Thursday"/>
  </r>
  <r>
    <s v="TX1706"/>
    <x v="117"/>
    <x v="4"/>
    <x v="3"/>
    <x v="1"/>
    <x v="0"/>
    <n v="1"/>
    <s v="Tamamlandı"/>
    <n v="556777114"/>
    <s v="EQ-1706"/>
    <s v="Elnur-Bakı Filialina çardırılma"/>
    <n v="600"/>
    <n v="950"/>
    <x v="16"/>
    <n v="350"/>
    <s v="0%"/>
    <d v="2026-05-31T00:00:00"/>
    <s v="Wednesday"/>
  </r>
  <r>
    <s v="TX1707"/>
    <x v="3"/>
    <x v="6"/>
    <x v="1"/>
    <x v="0"/>
    <x v="1"/>
    <n v="2"/>
    <s v="Tamamlandı"/>
    <n v="510654702"/>
    <s v="AV-1707"/>
    <s v="Aysel-Sumqayit Filialina çardırılma"/>
    <n v="15"/>
    <n v="45"/>
    <x v="32"/>
    <n v="60"/>
    <s v="0%"/>
    <s v=""/>
    <s v="Friday"/>
  </r>
  <r>
    <s v="TX1708"/>
    <x v="63"/>
    <x v="6"/>
    <x v="3"/>
    <x v="0"/>
    <x v="1"/>
    <n v="4"/>
    <s v="Tamamlandı"/>
    <n v="778067041"/>
    <s v="AV-1708"/>
    <s v="Aysel-Sumqayıt Filialina çardırılma"/>
    <n v="600"/>
    <n v="950"/>
    <x v="29"/>
    <n v="1400"/>
    <s v="0%"/>
    <s v=""/>
    <s v="Tuesday"/>
  </r>
  <r>
    <s v="TX1709"/>
    <x v="62"/>
    <x v="3"/>
    <x v="3"/>
    <x v="2"/>
    <x v="0"/>
    <n v="9"/>
    <s v="Tamamlandı"/>
    <n v="774316680"/>
    <s v="NM-1709"/>
    <s v="Nərgin-Gence Filialina çardırılma"/>
    <n v="600"/>
    <n v="950"/>
    <x v="10"/>
    <n v="3150"/>
    <s v="0%"/>
    <d v="2026-05-31T00:00:00"/>
    <s v="Sunday"/>
  </r>
  <r>
    <s v="TX1710"/>
    <x v="53"/>
    <x v="5"/>
    <x v="1"/>
    <x v="1"/>
    <x v="2"/>
    <n v="10"/>
    <s v="Tamamlandı"/>
    <n v="504980600"/>
    <s v="ƏM-1710"/>
    <s v="Əli-Bakı Filialina çardırılma"/>
    <n v="15"/>
    <n v="45"/>
    <x v="24"/>
    <n v="300"/>
    <n v="40.5"/>
    <s v=""/>
    <s v="Monday"/>
  </r>
  <r>
    <s v="TX1711"/>
    <x v="108"/>
    <x v="7"/>
    <x v="1"/>
    <x v="1"/>
    <x v="2"/>
    <n v="4"/>
    <s v="Tamamlandı"/>
    <n v="517562481"/>
    <s v="LƏ-1711"/>
    <s v="Leyla-Baki Filialina çardırılma"/>
    <n v="15"/>
    <n v="45"/>
    <x v="22"/>
    <n v="120"/>
    <s v="0%"/>
    <s v=""/>
    <s v="Monday"/>
  </r>
  <r>
    <s v="TX1712"/>
    <x v="132"/>
    <x v="4"/>
    <x v="1"/>
    <x v="3"/>
    <x v="2"/>
    <n v="5"/>
    <s v="Tamamlandı"/>
    <n v="707173311"/>
    <s v="EQ-1712"/>
    <s v="Elnur-Gəncə Filialina çardırılma"/>
    <n v="15"/>
    <n v="45"/>
    <x v="1"/>
    <n v="150"/>
    <s v="0%"/>
    <s v=""/>
    <s v="Sunday"/>
  </r>
  <r>
    <s v="TX1713"/>
    <x v="9"/>
    <x v="3"/>
    <x v="2"/>
    <x v="2"/>
    <x v="0"/>
    <n v="10"/>
    <s v="Tamamlandı"/>
    <n v="773814258"/>
    <s v="NM-1713"/>
    <s v="Nərgin-Gence Filialina çardırılma"/>
    <n v="400"/>
    <n v="650"/>
    <x v="6"/>
    <n v="2500"/>
    <s v="0%"/>
    <d v="2026-01-31T00:00:00"/>
    <s v="Thursday"/>
  </r>
  <r>
    <s v="TX1714"/>
    <x v="118"/>
    <x v="2"/>
    <x v="0"/>
    <x v="0"/>
    <x v="1"/>
    <n v="10"/>
    <s v="Tamamlandı"/>
    <n v="503063208"/>
    <s v="MI-1714"/>
    <s v="Murad-Sumqayit Filialina çardırılma"/>
    <n v="1200"/>
    <n v="1800"/>
    <x v="25"/>
    <n v="6000"/>
    <s v="0%"/>
    <s v=""/>
    <s v="Saturday"/>
  </r>
  <r>
    <s v="TX1715"/>
    <x v="116"/>
    <x v="0"/>
    <x v="3"/>
    <x v="2"/>
    <x v="1"/>
    <n v="6"/>
    <s v="Tamamlandı"/>
    <n v="706365793"/>
    <s v="RH-1715"/>
    <s v="Ramil-Gence Filialina çardırılma"/>
    <n v="600"/>
    <n v="950"/>
    <x v="15"/>
    <n v="2100"/>
    <s v="0%"/>
    <s v=""/>
    <s v="Saturday"/>
  </r>
  <r>
    <s v="TX1716"/>
    <x v="79"/>
    <x v="2"/>
    <x v="2"/>
    <x v="0"/>
    <x v="0"/>
    <n v="2"/>
    <s v="Tamamlandı"/>
    <n v="777154260"/>
    <s v="MI-1716"/>
    <s v="Murad-Sumqayıt Filialina çardırılma"/>
    <n v="400"/>
    <n v="650"/>
    <x v="36"/>
    <n v="500"/>
    <s v="0%"/>
    <d v="2026-03-31T00:00:00"/>
    <s v="Saturday"/>
  </r>
  <r>
    <s v="TX1717"/>
    <x v="40"/>
    <x v="3"/>
    <x v="0"/>
    <x v="1"/>
    <x v="2"/>
    <n v="7"/>
    <s v="Tamamlandı"/>
    <n v="514452414"/>
    <s v="NM-1717"/>
    <s v="Nərgin-Baki Filialina çardırılma"/>
    <n v="1200"/>
    <n v="1800"/>
    <x v="9"/>
    <n v="4200"/>
    <n v="1620"/>
    <s v=""/>
    <s v="Friday"/>
  </r>
  <r>
    <s v="TX1718"/>
    <x v="51"/>
    <x v="6"/>
    <x v="3"/>
    <x v="0"/>
    <x v="2"/>
    <n v="1"/>
    <s v="Tamamlandı"/>
    <n v="777626364"/>
    <s v="AV-1718"/>
    <s v="Aysel-Sumqayit Filialina çardırılma"/>
    <n v="600"/>
    <n v="950"/>
    <x v="16"/>
    <n v="350"/>
    <s v="0%"/>
    <s v=""/>
    <s v="Saturday"/>
  </r>
  <r>
    <s v="TX1719"/>
    <x v="134"/>
    <x v="3"/>
    <x v="2"/>
    <x v="0"/>
    <x v="0"/>
    <n v="4"/>
    <s v="Tamamlandı"/>
    <n v="551520819"/>
    <s v="NM-1719"/>
    <s v="Nərgin-Sumqayıt Filialina çardırılma"/>
    <n v="400"/>
    <n v="650"/>
    <x v="20"/>
    <n v="1000"/>
    <s v="0%"/>
    <d v="2026-04-30T00:00:00"/>
    <s v="Wednesday"/>
  </r>
  <r>
    <s v="TX1720"/>
    <x v="71"/>
    <x v="7"/>
    <x v="2"/>
    <x v="1"/>
    <x v="3"/>
    <n v="5"/>
    <s v="Tamamlandı"/>
    <n v="504405569"/>
    <s v="LƏ-1720"/>
    <s v="Leyla-Bakı Filialina çardırılma"/>
    <n v="400"/>
    <n v="650"/>
    <x v="12"/>
    <n v="1250"/>
    <s v="0%"/>
    <s v=""/>
    <s v="Monday"/>
  </r>
  <r>
    <s v="TX1721"/>
    <x v="130"/>
    <x v="6"/>
    <x v="1"/>
    <x v="1"/>
    <x v="2"/>
    <n v="10"/>
    <s v="Tamamlandı"/>
    <n v="502887853"/>
    <s v="AV-1721"/>
    <s v="Aysel-Bakı Filialina çardırılma"/>
    <n v="15"/>
    <n v="45"/>
    <x v="24"/>
    <n v="300"/>
    <n v="40.5"/>
    <s v=""/>
    <s v="Monday"/>
  </r>
  <r>
    <s v="TX1722"/>
    <x v="109"/>
    <x v="0"/>
    <x v="1"/>
    <x v="2"/>
    <x v="0"/>
    <n v="4"/>
    <s v="Tamamlandı"/>
    <n v="516734409"/>
    <s v="RH-1722"/>
    <s v="Ramil-Gence Filialina çardırılma"/>
    <n v="15"/>
    <n v="45"/>
    <x v="22"/>
    <n v="120"/>
    <s v="0%"/>
    <d v="2026-04-30T00:00:00"/>
    <s v="Thursday"/>
  </r>
  <r>
    <s v="TX1723"/>
    <x v="76"/>
    <x v="3"/>
    <x v="0"/>
    <x v="1"/>
    <x v="0"/>
    <n v="5"/>
    <s v="Tamamlandı"/>
    <n v="770397542"/>
    <s v="NM-1723"/>
    <s v="Nərgin-Baki Filialina çardırılma"/>
    <n v="1200"/>
    <n v="1800"/>
    <x v="19"/>
    <n v="3000"/>
    <s v="0%"/>
    <d v="2026-04-30T00:00:00"/>
    <s v="Thursday"/>
  </r>
  <r>
    <s v="TX1724"/>
    <x v="75"/>
    <x v="1"/>
    <x v="1"/>
    <x v="3"/>
    <x v="0"/>
    <n v="1"/>
    <s v="Tamamlandı"/>
    <n v="504961109"/>
    <s v="ZM-1724"/>
    <s v="Zaur-Gəncə Filialina çardırılma"/>
    <n v="15"/>
    <n v="45"/>
    <x v="2"/>
    <n v="30"/>
    <s v="0%"/>
    <d v="2026-05-31T00:00:00"/>
    <s v="Wednesday"/>
  </r>
  <r>
    <s v="TX1725"/>
    <x v="25"/>
    <x v="5"/>
    <x v="3"/>
    <x v="1"/>
    <x v="2"/>
    <n v="6"/>
    <s v="Tamamlandı"/>
    <n v="774245246"/>
    <s v="ƏM-1725"/>
    <s v="Əli-Baki Filialina çardırılma"/>
    <n v="600"/>
    <n v="950"/>
    <x v="15"/>
    <n v="2100"/>
    <n v="855"/>
    <s v=""/>
    <s v="Thursday"/>
  </r>
  <r>
    <s v="TX1726"/>
    <x v="30"/>
    <x v="6"/>
    <x v="0"/>
    <x v="3"/>
    <x v="2"/>
    <n v="7"/>
    <s v="Tamamlandı"/>
    <n v="519976627"/>
    <s v="AV-1726"/>
    <s v="Aysel-Gəncə Filialina çardırılma"/>
    <n v="1200"/>
    <n v="1800"/>
    <x v="9"/>
    <n v="4200"/>
    <n v="1620"/>
    <s v=""/>
    <s v="Tuesday"/>
  </r>
  <r>
    <s v="TX1727"/>
    <x v="57"/>
    <x v="4"/>
    <x v="2"/>
    <x v="1"/>
    <x v="0"/>
    <n v="10"/>
    <s v="Tamamlandı"/>
    <n v="509560772"/>
    <s v="EQ-1727"/>
    <s v="Elnur-Bakı Filialina çardırılma"/>
    <n v="400"/>
    <n v="650"/>
    <x v="6"/>
    <n v="2500"/>
    <s v="0%"/>
    <d v="2026-03-31T00:00:00"/>
    <s v="Thursday"/>
  </r>
  <r>
    <s v="TX1728"/>
    <x v="144"/>
    <x v="5"/>
    <x v="0"/>
    <x v="3"/>
    <x v="2"/>
    <n v="2"/>
    <s v="Tamamlandı"/>
    <n v="703043418"/>
    <s v="ƏM-1728"/>
    <s v="Əli-Gəncə Filialina çardırılma"/>
    <n v="1200"/>
    <n v="1800"/>
    <x v="13"/>
    <n v="1200"/>
    <s v="0%"/>
    <s v=""/>
    <s v="Monday"/>
  </r>
  <r>
    <s v="TX1729"/>
    <x v="122"/>
    <x v="7"/>
    <x v="2"/>
    <x v="2"/>
    <x v="2"/>
    <n v="6"/>
    <s v="Tamamlandı"/>
    <n v="554584509"/>
    <s v="LƏ-1729"/>
    <s v="Leyla-Gence Filialina çardırılma"/>
    <n v="400"/>
    <n v="650"/>
    <x v="37"/>
    <n v="1500"/>
    <n v="585"/>
    <s v=""/>
    <s v="Monday"/>
  </r>
  <r>
    <s v="TX1730"/>
    <x v="95"/>
    <x v="0"/>
    <x v="1"/>
    <x v="0"/>
    <x v="2"/>
    <n v="1"/>
    <s v="Tamamlandı"/>
    <n v="509988263"/>
    <s v="RH-1730"/>
    <s v="Ramil-Sumqayit Filialina çardırılma"/>
    <n v="15"/>
    <n v="45"/>
    <x v="2"/>
    <n v="30"/>
    <s v="0%"/>
    <s v=""/>
    <s v="Saturday"/>
  </r>
  <r>
    <s v="TX1731"/>
    <x v="53"/>
    <x v="3"/>
    <x v="0"/>
    <x v="3"/>
    <x v="0"/>
    <n v="4"/>
    <s v="Tamamlandı"/>
    <n v="505027812"/>
    <s v="NM-1731"/>
    <s v="Nərgin-Gəncə Filialina çardırılma"/>
    <n v="1200"/>
    <n v="1800"/>
    <x v="27"/>
    <n v="2400"/>
    <s v="0%"/>
    <d v="2026-05-31T00:00:00"/>
    <s v="Monday"/>
  </r>
  <r>
    <s v="TX1732"/>
    <x v="36"/>
    <x v="5"/>
    <x v="0"/>
    <x v="0"/>
    <x v="0"/>
    <n v="10"/>
    <s v="Tamamlandı"/>
    <n v="776281683"/>
    <s v="ƏM-1732"/>
    <s v="Əli-Sumqayit Filialina çardırılma"/>
    <n v="1200"/>
    <n v="1800"/>
    <x v="25"/>
    <n v="6000"/>
    <s v="0%"/>
    <d v="2026-05-31T00:00:00"/>
    <s v="Tuesday"/>
  </r>
  <r>
    <s v="TX1733"/>
    <x v="46"/>
    <x v="2"/>
    <x v="3"/>
    <x v="2"/>
    <x v="2"/>
    <n v="9"/>
    <s v="Tamamlandı"/>
    <n v="514933670"/>
    <s v="MI-1733"/>
    <s v="Murad-Gence Filialina çardırılma"/>
    <n v="600"/>
    <n v="950"/>
    <x v="10"/>
    <n v="3150"/>
    <n v="855"/>
    <s v=""/>
    <s v="Wednesday"/>
  </r>
  <r>
    <s v="TX1734"/>
    <x v="19"/>
    <x v="6"/>
    <x v="1"/>
    <x v="1"/>
    <x v="2"/>
    <n v="2"/>
    <s v="Tamamlandı"/>
    <n v="519000353"/>
    <s v="AV-1734"/>
    <s v="Aysel-Baki Filialina çardırılma"/>
    <n v="15"/>
    <n v="45"/>
    <x v="32"/>
    <n v="60"/>
    <s v="0%"/>
    <s v=""/>
    <s v="Sunday"/>
  </r>
  <r>
    <s v="TX1735"/>
    <x v="68"/>
    <x v="0"/>
    <x v="1"/>
    <x v="4"/>
    <x v="2"/>
    <n v="3"/>
    <s v="Tamamlandı"/>
    <n v="776231530"/>
    <s v="RH-1735"/>
    <s v="Ramil-Naməlum Filialina çardırılma"/>
    <n v="15"/>
    <n v="45"/>
    <x v="5"/>
    <n v="90"/>
    <s v="0%"/>
    <s v=""/>
    <s v="Thursday"/>
  </r>
  <r>
    <s v="TX1736"/>
    <x v="98"/>
    <x v="0"/>
    <x v="3"/>
    <x v="1"/>
    <x v="2"/>
    <n v="2"/>
    <s v="Tamamlandı"/>
    <n v="559232529"/>
    <s v="RH-1736"/>
    <s v="Ramil-Bakı Filialina çardırılma"/>
    <n v="600"/>
    <n v="950"/>
    <x v="21"/>
    <n v="700"/>
    <s v="0%"/>
    <s v=""/>
    <s v="Friday"/>
  </r>
  <r>
    <s v="TX1737"/>
    <x v="68"/>
    <x v="2"/>
    <x v="3"/>
    <x v="0"/>
    <x v="1"/>
    <n v="8"/>
    <s v="Tamamlandı"/>
    <n v="705224539"/>
    <s v="MI-1737"/>
    <s v="Murad-Sumqayıt Filialina çardırılma"/>
    <n v="600"/>
    <n v="950"/>
    <x v="7"/>
    <n v="2800"/>
    <s v="0%"/>
    <s v=""/>
    <s v="Thursday"/>
  </r>
  <r>
    <s v="TX1738"/>
    <x v="148"/>
    <x v="2"/>
    <x v="1"/>
    <x v="1"/>
    <x v="1"/>
    <n v="1"/>
    <s v="Tamamlandı"/>
    <n v="708756342"/>
    <s v="MI-1738"/>
    <s v="Murad-Bakı Filialina çardırılma"/>
    <n v="15"/>
    <n v="45"/>
    <x v="2"/>
    <n v="30"/>
    <s v="0%"/>
    <s v=""/>
    <s v="Friday"/>
  </r>
  <r>
    <s v="TX1739"/>
    <x v="91"/>
    <x v="2"/>
    <x v="3"/>
    <x v="0"/>
    <x v="2"/>
    <n v="9"/>
    <s v="Tamamlandı"/>
    <n v="773516878"/>
    <s v="MI-1739"/>
    <s v="Murad-Sumqayit Filialina çardırılma"/>
    <n v="600"/>
    <n v="950"/>
    <x v="10"/>
    <n v="3150"/>
    <n v="855"/>
    <s v=""/>
    <s v="Friday"/>
  </r>
  <r>
    <s v="TX1740"/>
    <x v="46"/>
    <x v="3"/>
    <x v="2"/>
    <x v="1"/>
    <x v="0"/>
    <n v="4"/>
    <s v="Tamamlandı"/>
    <n v="504541880"/>
    <s v="NM-1740"/>
    <s v="Nərgin-Bakı Filialina çardırılma"/>
    <n v="400"/>
    <n v="650"/>
    <x v="20"/>
    <n v="1000"/>
    <s v="0%"/>
    <d v="2026-04-30T00:00:00"/>
    <s v="Wednesday"/>
  </r>
  <r>
    <s v="TX1741"/>
    <x v="84"/>
    <x v="0"/>
    <x v="2"/>
    <x v="1"/>
    <x v="2"/>
    <n v="2"/>
    <s v="Tamamlandı"/>
    <n v="506977456"/>
    <s v="RH-1741"/>
    <s v="Ramil-Bakı Filialina çardırılma"/>
    <n v="400"/>
    <n v="650"/>
    <x v="36"/>
    <n v="500"/>
    <s v="0%"/>
    <s v=""/>
    <s v="Sunday"/>
  </r>
  <r>
    <s v="TX1742"/>
    <x v="55"/>
    <x v="2"/>
    <x v="3"/>
    <x v="3"/>
    <x v="1"/>
    <n v="2"/>
    <s v="Tamamlandı"/>
    <n v="500128117"/>
    <s v="MI-1742"/>
    <s v="Murad-Gəncə Filialina çardırılma"/>
    <n v="600"/>
    <n v="950"/>
    <x v="21"/>
    <n v="700"/>
    <s v="0%"/>
    <s v=""/>
    <s v="Tuesday"/>
  </r>
  <r>
    <s v="TX1743"/>
    <x v="99"/>
    <x v="5"/>
    <x v="3"/>
    <x v="2"/>
    <x v="1"/>
    <n v="7"/>
    <s v="Tamamlandı"/>
    <n v="514653904"/>
    <s v="ƏM-1743"/>
    <s v="Əli-Gence Filialina çardırılma"/>
    <n v="600"/>
    <n v="950"/>
    <x v="17"/>
    <n v="2450"/>
    <s v="0%"/>
    <s v=""/>
    <s v="Tuesday"/>
  </r>
  <r>
    <s v="TX1744"/>
    <x v="61"/>
    <x v="7"/>
    <x v="1"/>
    <x v="0"/>
    <x v="0"/>
    <n v="6"/>
    <s v="Tamamlandı"/>
    <n v="506369688"/>
    <s v="LƏ-1744"/>
    <s v="Leyla-Sumqayit Filialina çardırılma"/>
    <n v="15"/>
    <n v="45"/>
    <x v="31"/>
    <n v="180"/>
    <s v="0%"/>
    <d v="2026-04-30T00:00:00"/>
    <s v="Saturday"/>
  </r>
  <r>
    <s v="TX1745"/>
    <x v="87"/>
    <x v="0"/>
    <x v="3"/>
    <x v="3"/>
    <x v="0"/>
    <n v="7"/>
    <s v="Tamamlandı"/>
    <n v="513627486"/>
    <s v="RH-1745"/>
    <s v="Ramil-Gəncə Filialina çardırılma"/>
    <n v="600"/>
    <n v="950"/>
    <x v="17"/>
    <n v="2450"/>
    <s v="0%"/>
    <d v="2026-02-28T00:00:00"/>
    <s v="Wednesday"/>
  </r>
  <r>
    <s v="TX1746"/>
    <x v="47"/>
    <x v="7"/>
    <x v="0"/>
    <x v="0"/>
    <x v="0"/>
    <n v="5"/>
    <s v="Tamamlandı"/>
    <n v="500681846"/>
    <s v="LƏ-1746"/>
    <s v="Leyla-Sumqayıt Filialina çardırılma"/>
    <n v="1200"/>
    <n v="1800"/>
    <x v="19"/>
    <n v="3000"/>
    <s v="0%"/>
    <d v="2026-04-30T00:00:00"/>
    <s v="Sunday"/>
  </r>
  <r>
    <s v="TX1747"/>
    <x v="149"/>
    <x v="3"/>
    <x v="0"/>
    <x v="1"/>
    <x v="2"/>
    <n v="2"/>
    <s v="Tamamlandı"/>
    <n v="772715748"/>
    <s v="NM-1747"/>
    <s v="Nərgin-Baki Filialina çardırılma"/>
    <n v="1200"/>
    <n v="1800"/>
    <x v="13"/>
    <n v="1200"/>
    <s v="0%"/>
    <s v=""/>
    <s v="Thursday"/>
  </r>
  <r>
    <s v="TX1748"/>
    <x v="127"/>
    <x v="3"/>
    <x v="3"/>
    <x v="0"/>
    <x v="2"/>
    <n v="7"/>
    <s v="Tamamlandı"/>
    <n v="707369011"/>
    <s v="NM-1748"/>
    <s v="Nərgin-Sumqayıt Filialina çardırılma"/>
    <n v="600"/>
    <n v="950"/>
    <x v="17"/>
    <n v="2450"/>
    <n v="855"/>
    <s v=""/>
    <s v="Wednesday"/>
  </r>
  <r>
    <s v="TX1749"/>
    <x v="3"/>
    <x v="5"/>
    <x v="0"/>
    <x v="1"/>
    <x v="2"/>
    <n v="4"/>
    <s v="Tamamlandı"/>
    <n v="774979853"/>
    <s v="ƏM-1749"/>
    <s v="Əli-Baki Filialina çardırılma"/>
    <n v="1200"/>
    <n v="1800"/>
    <x v="27"/>
    <n v="2400"/>
    <s v="0%"/>
    <s v=""/>
    <s v="Friday"/>
  </r>
  <r>
    <s v="TX1750"/>
    <x v="80"/>
    <x v="1"/>
    <x v="1"/>
    <x v="3"/>
    <x v="2"/>
    <n v="6"/>
    <s v="Tamamlandı"/>
    <n v="506027529"/>
    <s v="ZM-1750"/>
    <s v="Zaur-Gəncə Filialina çardırılma"/>
    <n v="15"/>
    <n v="45"/>
    <x v="31"/>
    <n v="180"/>
    <n v="40.5"/>
    <s v=""/>
    <s v="Friday"/>
  </r>
  <r>
    <s v="TX1751"/>
    <x v="136"/>
    <x v="5"/>
    <x v="1"/>
    <x v="0"/>
    <x v="0"/>
    <n v="8"/>
    <s v="Tamamlandı"/>
    <n v="515120988"/>
    <s v="ƏM-1751"/>
    <s v="Əli-Sumqayit Filialina çardırılma"/>
    <n v="15"/>
    <n v="45"/>
    <x v="14"/>
    <n v="240"/>
    <s v="0%"/>
    <d v="2026-02-28T00:00:00"/>
    <s v="Sunday"/>
  </r>
  <r>
    <s v="TX1752"/>
    <x v="102"/>
    <x v="6"/>
    <x v="2"/>
    <x v="0"/>
    <x v="2"/>
    <n v="3"/>
    <s v="Tamamlandı"/>
    <n v="552916680"/>
    <s v="AV-1752"/>
    <s v="Aysel-Sumqayıt Filialina çardırılma"/>
    <n v="400"/>
    <n v="650"/>
    <x v="38"/>
    <n v="750"/>
    <s v="0%"/>
    <s v=""/>
    <s v="Wednesday"/>
  </r>
  <r>
    <s v="TX1753"/>
    <x v="29"/>
    <x v="3"/>
    <x v="1"/>
    <x v="0"/>
    <x v="2"/>
    <n v="8"/>
    <s v="Tamamlandı"/>
    <n v="550549948"/>
    <s v="NM-1753"/>
    <s v="Nərgin-Sumqayıt Filialina çardırılma"/>
    <n v="15"/>
    <n v="45"/>
    <x v="14"/>
    <n v="240"/>
    <n v="40.5"/>
    <s v=""/>
    <s v="Monday"/>
  </r>
  <r>
    <s v="TX1754"/>
    <x v="119"/>
    <x v="4"/>
    <x v="3"/>
    <x v="0"/>
    <x v="0"/>
    <n v="10"/>
    <s v="Tamamlandı"/>
    <n v="517470072"/>
    <s v="EQ-1754"/>
    <s v="Elnur-Sumqayit Filialina çardırılma"/>
    <n v="600"/>
    <n v="950"/>
    <x v="8"/>
    <n v="3500"/>
    <s v="0%"/>
    <d v="2026-03-31T00:00:00"/>
    <s v="Tuesday"/>
  </r>
  <r>
    <s v="TX1755"/>
    <x v="82"/>
    <x v="6"/>
    <x v="1"/>
    <x v="0"/>
    <x v="1"/>
    <n v="6"/>
    <s v="Tamamlandı"/>
    <n v="519209053"/>
    <s v="AV-1755"/>
    <s v="Aysel-Sumqayit Filialina çardırılma"/>
    <n v="15"/>
    <n v="45"/>
    <x v="31"/>
    <n v="180"/>
    <s v="0%"/>
    <s v=""/>
    <s v="Friday"/>
  </r>
  <r>
    <s v="TX1756"/>
    <x v="48"/>
    <x v="0"/>
    <x v="0"/>
    <x v="3"/>
    <x v="0"/>
    <n v="7"/>
    <s v="Tamamlandı"/>
    <n v="771317990"/>
    <s v="RH-1756"/>
    <s v="Ramil-Gəncə Filialina çardırılma"/>
    <n v="1200"/>
    <n v="1800"/>
    <x v="9"/>
    <n v="4200"/>
    <s v="0%"/>
    <d v="2026-05-31T00:00:00"/>
    <s v="Friday"/>
  </r>
  <r>
    <s v="TX1757"/>
    <x v="130"/>
    <x v="6"/>
    <x v="0"/>
    <x v="2"/>
    <x v="1"/>
    <n v="4"/>
    <s v="Tamamlandı"/>
    <n v="774934247"/>
    <s v="AV-1757"/>
    <s v="Aysel-Gence Filialina çardırılma"/>
    <n v="1200"/>
    <n v="1800"/>
    <x v="27"/>
    <n v="2400"/>
    <s v="0%"/>
    <s v=""/>
    <s v="Monday"/>
  </r>
  <r>
    <s v="TX1758"/>
    <x v="124"/>
    <x v="1"/>
    <x v="1"/>
    <x v="1"/>
    <x v="1"/>
    <n v="3"/>
    <s v="Tamamlandı"/>
    <n v="555462408"/>
    <s v="ZM-1758"/>
    <s v="Zaur-Bakı Filialina çardırılma"/>
    <n v="15"/>
    <n v="45"/>
    <x v="5"/>
    <n v="90"/>
    <s v="0%"/>
    <s v=""/>
    <s v="Saturday"/>
  </r>
  <r>
    <s v="TX1759"/>
    <x v="128"/>
    <x v="2"/>
    <x v="0"/>
    <x v="1"/>
    <x v="2"/>
    <n v="5"/>
    <s v="Tamamlandı"/>
    <n v="504008638"/>
    <s v="MI-1759"/>
    <s v="Murad-Baki Filialina çardırılma"/>
    <n v="1200"/>
    <n v="1800"/>
    <x v="19"/>
    <n v="3000"/>
    <s v="0%"/>
    <s v=""/>
    <s v="Wednesday"/>
  </r>
  <r>
    <s v="TX1760"/>
    <x v="50"/>
    <x v="1"/>
    <x v="0"/>
    <x v="2"/>
    <x v="0"/>
    <n v="9"/>
    <s v="Tamamlandı"/>
    <n v="508134896"/>
    <s v="ZM-1760"/>
    <s v="Zaur-Gence Filialina çardırılma"/>
    <n v="1200"/>
    <n v="1800"/>
    <x v="35"/>
    <n v="5400"/>
    <s v="0%"/>
    <d v="2026-01-31T00:00:00"/>
    <s v="Wednesday"/>
  </r>
  <r>
    <s v="TX1761"/>
    <x v="57"/>
    <x v="7"/>
    <x v="0"/>
    <x v="1"/>
    <x v="2"/>
    <n v="8"/>
    <s v="Tamamlandı"/>
    <n v="507955004"/>
    <s v="LƏ-1761"/>
    <s v="Leyla-Bakı Filialina çardırılma"/>
    <n v="1200"/>
    <n v="1800"/>
    <x v="0"/>
    <n v="4800"/>
    <n v="1620"/>
    <s v=""/>
    <s v="Thursday"/>
  </r>
  <r>
    <s v="TX1762"/>
    <x v="128"/>
    <x v="3"/>
    <x v="2"/>
    <x v="0"/>
    <x v="0"/>
    <n v="2"/>
    <s v="Tamamlandı"/>
    <n v="503019477"/>
    <s v="NM-1762"/>
    <s v="Nərgin-Sumqayit Filialina çardırılma"/>
    <n v="400"/>
    <n v="650"/>
    <x v="36"/>
    <n v="500"/>
    <s v="0%"/>
    <d v="2026-06-30T00:00:00"/>
    <s v="Wednesday"/>
  </r>
  <r>
    <s v="TX1763"/>
    <x v="100"/>
    <x v="3"/>
    <x v="0"/>
    <x v="2"/>
    <x v="2"/>
    <n v="4"/>
    <s v="Tamamlandı"/>
    <n v="555596654"/>
    <s v="NM-1763"/>
    <s v="Nərgin-Gence Filialina çardırılma"/>
    <n v="1200"/>
    <n v="1800"/>
    <x v="27"/>
    <n v="2400"/>
    <s v="0%"/>
    <s v=""/>
    <s v="Tuesday"/>
  </r>
  <r>
    <s v="TX1764"/>
    <x v="5"/>
    <x v="3"/>
    <x v="1"/>
    <x v="2"/>
    <x v="2"/>
    <n v="6"/>
    <s v="Tamamlandı"/>
    <n v="771778261"/>
    <s v="NM-1764"/>
    <s v="Nərgin-Gence Filialina çardırılma"/>
    <n v="15"/>
    <n v="45"/>
    <x v="31"/>
    <n v="180"/>
    <n v="40.5"/>
    <s v=""/>
    <s v="Wednesday"/>
  </r>
  <r>
    <s v="TX1765"/>
    <x v="11"/>
    <x v="2"/>
    <x v="0"/>
    <x v="1"/>
    <x v="1"/>
    <n v="6"/>
    <s v="Tamamlandı"/>
    <n v="557192152"/>
    <s v="MI-1765"/>
    <s v="Murad-Baki Filialina çardırılma"/>
    <n v="1200"/>
    <n v="1800"/>
    <x v="3"/>
    <n v="3600"/>
    <s v="0%"/>
    <s v=""/>
    <s v="Wednesday"/>
  </r>
  <r>
    <s v="TX1766"/>
    <x v="5"/>
    <x v="7"/>
    <x v="1"/>
    <x v="3"/>
    <x v="2"/>
    <n v="9"/>
    <s v="Tamamlandı"/>
    <n v="706514910"/>
    <s v="LƏ-1766"/>
    <s v="Leyla-Gəncə Filialina çardırılma"/>
    <n v="15"/>
    <n v="45"/>
    <x v="30"/>
    <n v="270"/>
    <n v="40.5"/>
    <s v=""/>
    <s v="Wednesday"/>
  </r>
  <r>
    <s v="TX1767"/>
    <x v="115"/>
    <x v="0"/>
    <x v="3"/>
    <x v="1"/>
    <x v="2"/>
    <n v="9"/>
    <s v="Tamamlandı"/>
    <n v="507266414"/>
    <s v="RH-1767"/>
    <s v="Ramil-Bakı Filialina çardırılma"/>
    <n v="600"/>
    <n v="950"/>
    <x v="10"/>
    <n v="3150"/>
    <n v="855"/>
    <s v=""/>
    <s v="Friday"/>
  </r>
  <r>
    <s v="TX1768"/>
    <x v="122"/>
    <x v="7"/>
    <x v="3"/>
    <x v="3"/>
    <x v="0"/>
    <n v="10"/>
    <s v="Tamamlandı"/>
    <n v="555948547"/>
    <s v="LƏ-1768"/>
    <s v="Leyla-Gəncə Filialina çardırılma"/>
    <n v="600"/>
    <n v="950"/>
    <x v="8"/>
    <n v="3500"/>
    <s v="0%"/>
    <d v="2026-06-30T00:00:00"/>
    <s v="Monday"/>
  </r>
  <r>
    <s v="TX1769"/>
    <x v="63"/>
    <x v="1"/>
    <x v="1"/>
    <x v="2"/>
    <x v="2"/>
    <n v="7"/>
    <s v="Tamamlandı"/>
    <n v="770266997"/>
    <s v="ZM-1769"/>
    <s v="Zaur-Gence Filialina çardırılma"/>
    <n v="15"/>
    <n v="45"/>
    <x v="34"/>
    <n v="210"/>
    <n v="40.5"/>
    <s v=""/>
    <s v="Tuesday"/>
  </r>
  <r>
    <s v="TX1770"/>
    <x v="5"/>
    <x v="4"/>
    <x v="0"/>
    <x v="4"/>
    <x v="0"/>
    <n v="10"/>
    <s v="Tamamlandı"/>
    <n v="702741810"/>
    <s v="EQ-1770"/>
    <s v="Elnur-Naməlum Filialina çardırılma"/>
    <n v="1200"/>
    <n v="1800"/>
    <x v="25"/>
    <n v="6000"/>
    <s v="0%"/>
    <d v="2026-01-31T00:00:00"/>
    <s v="Wednesday"/>
  </r>
  <r>
    <s v="TX1771"/>
    <x v="125"/>
    <x v="0"/>
    <x v="1"/>
    <x v="0"/>
    <x v="0"/>
    <n v="5"/>
    <s v="Tamamlandı"/>
    <n v="776525637"/>
    <s v="RH-1771"/>
    <s v="Ramil-Sumqayit Filialina çardırılma"/>
    <n v="15"/>
    <n v="45"/>
    <x v="1"/>
    <n v="150"/>
    <s v="0%"/>
    <d v="2026-02-28T00:00:00"/>
    <s v="Saturday"/>
  </r>
  <r>
    <s v="TX1772"/>
    <x v="17"/>
    <x v="5"/>
    <x v="0"/>
    <x v="1"/>
    <x v="2"/>
    <n v="4"/>
    <s v="Tamamlandı"/>
    <n v="708660192"/>
    <s v="ƏM-1772"/>
    <s v="Əli-Bakı Filialina çardırılma"/>
    <n v="1200"/>
    <n v="1800"/>
    <x v="27"/>
    <n v="2400"/>
    <s v="0%"/>
    <s v=""/>
    <s v="Saturday"/>
  </r>
  <r>
    <s v="TX1773"/>
    <x v="88"/>
    <x v="0"/>
    <x v="0"/>
    <x v="1"/>
    <x v="1"/>
    <n v="6"/>
    <s v="Tamamlandı"/>
    <n v="554921416"/>
    <s v="RH-1773"/>
    <s v="Ramil-Bakı Filialina çardırılma"/>
    <n v="1200"/>
    <n v="1800"/>
    <x v="3"/>
    <n v="3600"/>
    <s v="0%"/>
    <s v=""/>
    <s v="Monday"/>
  </r>
  <r>
    <s v="TX1774"/>
    <x v="15"/>
    <x v="1"/>
    <x v="1"/>
    <x v="0"/>
    <x v="0"/>
    <n v="8"/>
    <s v="Tamamlandı"/>
    <n v="551764631"/>
    <s v="ZM-1774"/>
    <s v="Zaur-Sumqayit Filialina çardırılma"/>
    <n v="15"/>
    <n v="45"/>
    <x v="14"/>
    <n v="240"/>
    <s v="0%"/>
    <d v="2026-05-31T00:00:00"/>
    <s v="Thursday"/>
  </r>
  <r>
    <s v="TX1775"/>
    <x v="47"/>
    <x v="6"/>
    <x v="1"/>
    <x v="0"/>
    <x v="0"/>
    <n v="4"/>
    <s v="Tamamlandı"/>
    <n v="776605118"/>
    <s v="AV-1775"/>
    <s v="Aysel-Sumqayıt Filialina çardırılma"/>
    <n v="15"/>
    <n v="45"/>
    <x v="22"/>
    <n v="120"/>
    <s v="0%"/>
    <d v="2026-04-30T00:00:00"/>
    <s v="Sunday"/>
  </r>
  <r>
    <s v="TX1776"/>
    <x v="62"/>
    <x v="5"/>
    <x v="1"/>
    <x v="0"/>
    <x v="0"/>
    <n v="5"/>
    <s v="Tamamlandı"/>
    <n v="550947637"/>
    <s v="ƏM-1776"/>
    <s v="Əli-Sumqayit Filialina çardırılma"/>
    <n v="15"/>
    <n v="45"/>
    <x v="1"/>
    <n v="150"/>
    <s v="0%"/>
    <d v="2026-05-31T00:00:00"/>
    <s v="Sunday"/>
  </r>
  <r>
    <s v="TX1777"/>
    <x v="71"/>
    <x v="1"/>
    <x v="3"/>
    <x v="1"/>
    <x v="2"/>
    <n v="5"/>
    <s v="Tamamlandı"/>
    <n v="709992261"/>
    <s v="ZM-1777"/>
    <s v="Zaur-Baki Filialina çardırılma"/>
    <n v="600"/>
    <n v="950"/>
    <x v="26"/>
    <n v="1750"/>
    <s v="0%"/>
    <s v=""/>
    <s v="Monday"/>
  </r>
  <r>
    <s v="TX1778"/>
    <x v="83"/>
    <x v="5"/>
    <x v="1"/>
    <x v="1"/>
    <x v="0"/>
    <n v="8"/>
    <s v="Tamamlandı"/>
    <n v="514918185"/>
    <s v="ƏM-1778"/>
    <s v="Əli-Bakı Filialina çardırılma"/>
    <n v="15"/>
    <n v="45"/>
    <x v="14"/>
    <n v="240"/>
    <s v="0%"/>
    <d v="2026-01-31T00:00:00"/>
    <s v="Friday"/>
  </r>
  <r>
    <s v="TX1779"/>
    <x v="121"/>
    <x v="3"/>
    <x v="3"/>
    <x v="0"/>
    <x v="0"/>
    <n v="9"/>
    <s v="Tamamlandı"/>
    <n v="516549391"/>
    <s v="NM-1779"/>
    <s v="Nərgin-Sumqayıt Filialina çardırılma"/>
    <n v="600"/>
    <n v="950"/>
    <x v="10"/>
    <n v="3150"/>
    <s v="0%"/>
    <d v="2026-05-31T00:00:00"/>
    <s v="Saturday"/>
  </r>
  <r>
    <s v="TX1780"/>
    <x v="45"/>
    <x v="3"/>
    <x v="1"/>
    <x v="0"/>
    <x v="3"/>
    <n v="9"/>
    <s v="Tamamlandı"/>
    <n v="771721895"/>
    <s v="NM-1780"/>
    <s v="Nərgin-Sumqayıt Filialina çardırılma"/>
    <n v="15"/>
    <n v="45"/>
    <x v="30"/>
    <n v="270"/>
    <s v="0%"/>
    <s v=""/>
    <s v="Wednesday"/>
  </r>
  <r>
    <s v="TX1781"/>
    <x v="57"/>
    <x v="6"/>
    <x v="1"/>
    <x v="2"/>
    <x v="2"/>
    <n v="3"/>
    <s v="Tamamlandı"/>
    <n v="558025392"/>
    <s v="AV-1781"/>
    <s v="Aysel-Gence Filialina çardırılma"/>
    <n v="15"/>
    <n v="45"/>
    <x v="5"/>
    <n v="90"/>
    <s v="0%"/>
    <s v=""/>
    <s v="Thursday"/>
  </r>
  <r>
    <s v="TX1782"/>
    <x v="115"/>
    <x v="5"/>
    <x v="1"/>
    <x v="3"/>
    <x v="2"/>
    <n v="1"/>
    <s v="Tamamlandı"/>
    <n v="506436068"/>
    <s v="ƏM-1782"/>
    <s v="Əli-Gəncə Filialina çardırılma"/>
    <n v="15"/>
    <n v="45"/>
    <x v="2"/>
    <n v="30"/>
    <s v="0%"/>
    <s v=""/>
    <s v="Friday"/>
  </r>
  <r>
    <s v="TX1783"/>
    <x v="70"/>
    <x v="4"/>
    <x v="2"/>
    <x v="1"/>
    <x v="0"/>
    <n v="7"/>
    <s v="Tamamlandı"/>
    <n v="553638672"/>
    <s v="EQ-1783"/>
    <s v="Elnur-Bakı Filialina çardırılma"/>
    <n v="400"/>
    <n v="650"/>
    <x v="39"/>
    <n v="1750"/>
    <s v="0%"/>
    <d v="2026-04-30T00:00:00"/>
    <s v="Thursday"/>
  </r>
  <r>
    <s v="TX1784"/>
    <x v="82"/>
    <x v="2"/>
    <x v="0"/>
    <x v="1"/>
    <x v="0"/>
    <n v="7"/>
    <s v="Tamamlandı"/>
    <n v="500520973"/>
    <s v="MI-1784"/>
    <s v="Murad-Baki Filialina çardırılma"/>
    <n v="1200"/>
    <n v="1800"/>
    <x v="9"/>
    <n v="4200"/>
    <s v="0%"/>
    <d v="2026-04-30T00:00:00"/>
    <s v="Friday"/>
  </r>
  <r>
    <s v="TX1785"/>
    <x v="122"/>
    <x v="1"/>
    <x v="3"/>
    <x v="0"/>
    <x v="2"/>
    <n v="9"/>
    <s v="Tamamlandı"/>
    <n v="512909594"/>
    <s v="ZM-1785"/>
    <s v="Zaur-Sumqayıt Filialina çardırılma"/>
    <n v="600"/>
    <n v="950"/>
    <x v="10"/>
    <n v="3150"/>
    <n v="855"/>
    <s v=""/>
    <s v="Monday"/>
  </r>
  <r>
    <s v="TX1786"/>
    <x v="25"/>
    <x v="1"/>
    <x v="3"/>
    <x v="0"/>
    <x v="1"/>
    <n v="10"/>
    <s v="Tamamlandı"/>
    <n v="700416806"/>
    <s v="ZM-1786"/>
    <s v="Zaur-Sumqayit Filialina çardırılma"/>
    <n v="600"/>
    <n v="950"/>
    <x v="8"/>
    <n v="3500"/>
    <s v="0%"/>
    <s v=""/>
    <s v="Thursday"/>
  </r>
  <r>
    <s v="TX1787"/>
    <x v="67"/>
    <x v="7"/>
    <x v="0"/>
    <x v="1"/>
    <x v="2"/>
    <n v="9"/>
    <s v="Tamamlandı"/>
    <n v="775642185"/>
    <s v="LƏ-1787"/>
    <s v="Leyla-Baki Filialina çardırılma"/>
    <n v="1200"/>
    <n v="1800"/>
    <x v="35"/>
    <n v="5400"/>
    <n v="1620"/>
    <s v=""/>
    <s v="Monday"/>
  </r>
  <r>
    <s v="TX1788"/>
    <x v="1"/>
    <x v="6"/>
    <x v="3"/>
    <x v="0"/>
    <x v="0"/>
    <n v="8"/>
    <s v="Tamamlandı"/>
    <n v="506701182"/>
    <s v="AV-1788"/>
    <s v="Aysel-Sumqayit Filialina çardırılma"/>
    <n v="600"/>
    <n v="950"/>
    <x v="7"/>
    <n v="2800"/>
    <s v="0%"/>
    <d v="2026-05-31T00:00:00"/>
    <s v="Sunday"/>
  </r>
  <r>
    <s v="TX1789"/>
    <x v="106"/>
    <x v="1"/>
    <x v="3"/>
    <x v="3"/>
    <x v="0"/>
    <n v="6"/>
    <s v="Tamamlandı"/>
    <n v="709390172"/>
    <s v="ZM-1789"/>
    <s v="Zaur-Gəncə Filialina çardırılma"/>
    <n v="600"/>
    <n v="950"/>
    <x v="15"/>
    <n v="2100"/>
    <s v="0%"/>
    <d v="2026-02-28T00:00:00"/>
    <s v="Thursday"/>
  </r>
  <r>
    <s v="TX1790"/>
    <x v="47"/>
    <x v="7"/>
    <x v="1"/>
    <x v="3"/>
    <x v="0"/>
    <n v="6"/>
    <s v="Tamamlandı"/>
    <n v="556669034"/>
    <s v="LƏ-1790"/>
    <s v="Leyla-Gəncə Filialina çardırılma"/>
    <n v="15"/>
    <n v="45"/>
    <x v="31"/>
    <n v="180"/>
    <s v="0%"/>
    <d v="2026-04-30T00:00:00"/>
    <s v="Sunday"/>
  </r>
  <r>
    <s v="TX1791"/>
    <x v="91"/>
    <x v="7"/>
    <x v="3"/>
    <x v="1"/>
    <x v="2"/>
    <n v="7"/>
    <s v="Tamamlandı"/>
    <n v="772601024"/>
    <s v="LƏ-1791"/>
    <s v="Leyla-Baki Filialina çardırılma"/>
    <n v="600"/>
    <n v="950"/>
    <x v="17"/>
    <n v="2450"/>
    <n v="855"/>
    <s v=""/>
    <s v="Friday"/>
  </r>
  <r>
    <s v="TX1792"/>
    <x v="53"/>
    <x v="3"/>
    <x v="3"/>
    <x v="2"/>
    <x v="0"/>
    <n v="9"/>
    <s v="Tamamlandı"/>
    <n v="776909895"/>
    <s v="NM-1792"/>
    <s v="Nərgin-Gence Filialina çardırılma"/>
    <n v="600"/>
    <n v="950"/>
    <x v="10"/>
    <n v="3150"/>
    <s v="0%"/>
    <d v="2026-05-31T00:00:00"/>
    <s v="Monday"/>
  </r>
  <r>
    <s v="TX1793"/>
    <x v="47"/>
    <x v="4"/>
    <x v="0"/>
    <x v="0"/>
    <x v="2"/>
    <n v="5"/>
    <s v="Tamamlandı"/>
    <n v="774262985"/>
    <s v="EQ-1793"/>
    <s v="Elnur-Sumqayıt Filialina çardırılma"/>
    <n v="1200"/>
    <n v="1800"/>
    <x v="19"/>
    <n v="3000"/>
    <s v="0%"/>
    <s v=""/>
    <s v="Sunday"/>
  </r>
  <r>
    <s v="TX1794"/>
    <x v="79"/>
    <x v="5"/>
    <x v="1"/>
    <x v="1"/>
    <x v="2"/>
    <n v="3"/>
    <s v="Tamamlandı"/>
    <n v="553142210"/>
    <s v="ƏM-1794"/>
    <s v="Əli-Bakı Filialina çardırılma"/>
    <n v="15"/>
    <n v="45"/>
    <x v="5"/>
    <n v="90"/>
    <s v="0%"/>
    <s v=""/>
    <s v="Saturday"/>
  </r>
  <r>
    <s v="TX1795"/>
    <x v="70"/>
    <x v="4"/>
    <x v="2"/>
    <x v="1"/>
    <x v="2"/>
    <n v="9"/>
    <s v="Tamamlandı"/>
    <n v="704733042"/>
    <s v="EQ-1795"/>
    <s v="Elnur-Bakı Filialina çardırılma"/>
    <n v="400"/>
    <n v="650"/>
    <x v="33"/>
    <n v="2250"/>
    <n v="585"/>
    <s v=""/>
    <s v="Thursday"/>
  </r>
  <r>
    <s v="TX1796"/>
    <x v="1"/>
    <x v="0"/>
    <x v="0"/>
    <x v="2"/>
    <x v="0"/>
    <n v="2"/>
    <s v="Tamamlandı"/>
    <n v="558796609"/>
    <s v="RH-1796"/>
    <s v="Ramil-Gence Filialina çardırılma"/>
    <n v="1200"/>
    <n v="1800"/>
    <x v="13"/>
    <n v="1200"/>
    <s v="0%"/>
    <d v="2026-05-31T00:00:00"/>
    <s v="Sunday"/>
  </r>
  <r>
    <s v="TX1797"/>
    <x v="29"/>
    <x v="6"/>
    <x v="1"/>
    <x v="1"/>
    <x v="0"/>
    <n v="9"/>
    <s v="Tamamlandı"/>
    <n v="513274472"/>
    <s v="AV-1797"/>
    <s v="Aysel-Baki Filialina çardırılma"/>
    <n v="15"/>
    <n v="45"/>
    <x v="30"/>
    <n v="270"/>
    <s v="0%"/>
    <d v="2026-05-31T00:00:00"/>
    <s v="Monday"/>
  </r>
  <r>
    <s v="TX1798"/>
    <x v="27"/>
    <x v="0"/>
    <x v="2"/>
    <x v="0"/>
    <x v="1"/>
    <n v="9"/>
    <s v="Tamamlandı"/>
    <n v="552520892"/>
    <s v="RH-1798"/>
    <s v="Ramil-Sumqayit Filialina çardırılma"/>
    <n v="400"/>
    <n v="650"/>
    <x v="33"/>
    <n v="2250"/>
    <s v="0%"/>
    <s v=""/>
    <s v="Friday"/>
  </r>
  <r>
    <s v="TX1799"/>
    <x v="147"/>
    <x v="5"/>
    <x v="3"/>
    <x v="1"/>
    <x v="2"/>
    <n v="5"/>
    <s v="Tamamlandı"/>
    <n v="771593832"/>
    <s v="ƏM-1799"/>
    <s v="Əli-Baki Filialina çardırılma"/>
    <n v="600"/>
    <n v="950"/>
    <x v="26"/>
    <n v="1750"/>
    <s v="0%"/>
    <s v=""/>
    <s v="Thursday"/>
  </r>
  <r>
    <s v="TX1800"/>
    <x v="38"/>
    <x v="4"/>
    <x v="3"/>
    <x v="0"/>
    <x v="0"/>
    <n v="7"/>
    <s v="Tamamlandı"/>
    <n v="500131664"/>
    <s v="EQ-1800"/>
    <s v="Elnur-Sumqayit Filialina çardırılma"/>
    <n v="600"/>
    <n v="950"/>
    <x v="17"/>
    <n v="2450"/>
    <s v="0%"/>
    <d v="2026-03-31T00:00:00"/>
    <s v="Saturday"/>
  </r>
  <r>
    <s v="TX1801"/>
    <x v="86"/>
    <x v="6"/>
    <x v="2"/>
    <x v="3"/>
    <x v="0"/>
    <n v="2"/>
    <s v="Tamamlandı"/>
    <n v="509291656"/>
    <s v="AV-1801"/>
    <s v="Aysel-Gəncə Filialina çardırılma"/>
    <n v="400"/>
    <n v="650"/>
    <x v="36"/>
    <n v="500"/>
    <s v="0%"/>
    <d v="2026-04-30T00:00:00"/>
    <s v="Sunday"/>
  </r>
  <r>
    <s v="TX1802"/>
    <x v="45"/>
    <x v="7"/>
    <x v="1"/>
    <x v="3"/>
    <x v="0"/>
    <n v="7"/>
    <s v="Tamamlandı"/>
    <n v="518429288"/>
    <s v="LƏ-1802"/>
    <s v="Leyla-Gəncə Filialina çardırılma"/>
    <n v="15"/>
    <n v="45"/>
    <x v="34"/>
    <n v="210"/>
    <s v="0%"/>
    <d v="2026-03-31T00:00:00"/>
    <s v="Wednesday"/>
  </r>
  <r>
    <s v="TX1803"/>
    <x v="134"/>
    <x v="7"/>
    <x v="1"/>
    <x v="0"/>
    <x v="2"/>
    <n v="7"/>
    <s v="Tamamlandı"/>
    <n v="556640957"/>
    <s v="LƏ-1803"/>
    <s v="Leyla-Sumqayıt Filialina çardırılma"/>
    <n v="15"/>
    <n v="45"/>
    <x v="34"/>
    <n v="210"/>
    <n v="40.5"/>
    <s v=""/>
    <s v="Wednesday"/>
  </r>
  <r>
    <s v="TX1804"/>
    <x v="149"/>
    <x v="5"/>
    <x v="3"/>
    <x v="1"/>
    <x v="2"/>
    <n v="3"/>
    <s v="Tamamlandı"/>
    <n v="777912634"/>
    <s v="ƏM-1804"/>
    <s v="Əli-Bakı Filialina çardırılma"/>
    <n v="600"/>
    <n v="950"/>
    <x v="18"/>
    <n v="1050"/>
    <s v="0%"/>
    <s v=""/>
    <s v="Thursday"/>
  </r>
  <r>
    <s v="TX1805"/>
    <x v="142"/>
    <x v="4"/>
    <x v="1"/>
    <x v="4"/>
    <x v="1"/>
    <n v="8"/>
    <s v="Tamamlandı"/>
    <n v="514946120"/>
    <s v="EQ-1805"/>
    <s v="Elnur-Naməlum Filialina çardırılma"/>
    <n v="15"/>
    <n v="45"/>
    <x v="14"/>
    <n v="240"/>
    <s v="0%"/>
    <s v=""/>
    <s v="Tuesday"/>
  </r>
  <r>
    <s v="TX1806"/>
    <x v="120"/>
    <x v="7"/>
    <x v="1"/>
    <x v="0"/>
    <x v="2"/>
    <n v="5"/>
    <s v="Tamamlandı"/>
    <n v="516203848"/>
    <s v="LƏ-1806"/>
    <s v="Leyla-Sumqayıt Filialina çardırılma"/>
    <n v="15"/>
    <n v="45"/>
    <x v="1"/>
    <n v="150"/>
    <s v="0%"/>
    <s v=""/>
    <s v="Thursday"/>
  </r>
  <r>
    <s v="TX1807"/>
    <x v="80"/>
    <x v="0"/>
    <x v="3"/>
    <x v="2"/>
    <x v="0"/>
    <n v="4"/>
    <s v="Tamamlandı"/>
    <n v="700195719"/>
    <s v="RH-1807"/>
    <s v="Ramil-Gence Filialina çardırılma"/>
    <n v="600"/>
    <n v="950"/>
    <x v="29"/>
    <n v="1400"/>
    <s v="0%"/>
    <d v="2026-02-28T00:00:00"/>
    <s v="Friday"/>
  </r>
  <r>
    <s v="TX1808"/>
    <x v="134"/>
    <x v="1"/>
    <x v="1"/>
    <x v="1"/>
    <x v="2"/>
    <n v="2"/>
    <s v="Tamamlandı"/>
    <n v="777503055"/>
    <s v="ZM-1808"/>
    <s v="Zaur-Baki Filialina çardırılma"/>
    <n v="15"/>
    <n v="45"/>
    <x v="32"/>
    <n v="60"/>
    <s v="0%"/>
    <s v=""/>
    <s v="Wednesday"/>
  </r>
  <r>
    <s v="TX1809"/>
    <x v="75"/>
    <x v="1"/>
    <x v="3"/>
    <x v="1"/>
    <x v="0"/>
    <n v="3"/>
    <s v="Tamamlandı"/>
    <n v="556497262"/>
    <s v="ZM-1809"/>
    <s v="Zaur-Bakı Filialina çardırılma"/>
    <n v="600"/>
    <n v="950"/>
    <x v="18"/>
    <n v="1050"/>
    <s v="0%"/>
    <d v="2026-05-31T00:00:00"/>
    <s v="Wednesday"/>
  </r>
  <r>
    <s v="TX1810"/>
    <x v="92"/>
    <x v="5"/>
    <x v="1"/>
    <x v="1"/>
    <x v="1"/>
    <n v="5"/>
    <s v="Tamamlandı"/>
    <n v="514639992"/>
    <s v="ƏM-1810"/>
    <s v="Əli-Bakı Filialina çardırılma"/>
    <n v="15"/>
    <n v="45"/>
    <x v="1"/>
    <n v="150"/>
    <s v="0%"/>
    <s v=""/>
    <s v="Saturday"/>
  </r>
  <r>
    <s v="TX1811"/>
    <x v="16"/>
    <x v="5"/>
    <x v="1"/>
    <x v="0"/>
    <x v="0"/>
    <n v="4"/>
    <s v="Tamamlandı"/>
    <n v="507335239"/>
    <s v="ƏM-1811"/>
    <s v="Əli-Sumqayit Filialina çardırılma"/>
    <n v="15"/>
    <n v="45"/>
    <x v="22"/>
    <n v="120"/>
    <s v="0%"/>
    <d v="2026-06-30T00:00:00"/>
    <s v="Thursday"/>
  </r>
  <r>
    <s v="TX1812"/>
    <x v="91"/>
    <x v="3"/>
    <x v="1"/>
    <x v="1"/>
    <x v="0"/>
    <n v="7"/>
    <s v="Tamamlandı"/>
    <n v="505097378"/>
    <s v="NM-1812"/>
    <s v="Nərgin-Bakı Filialina çardırılma"/>
    <n v="15"/>
    <n v="45"/>
    <x v="34"/>
    <n v="210"/>
    <s v="0%"/>
    <d v="2026-03-31T00:00:00"/>
    <s v="Friday"/>
  </r>
  <r>
    <s v="TX1813"/>
    <x v="135"/>
    <x v="2"/>
    <x v="1"/>
    <x v="1"/>
    <x v="2"/>
    <n v="1"/>
    <s v="Tamamlandı"/>
    <n v="506380408"/>
    <s v="MI-1813"/>
    <s v="Murad-Baki Filialina çardırılma"/>
    <n v="15"/>
    <n v="45"/>
    <x v="2"/>
    <n v="30"/>
    <s v="0%"/>
    <s v=""/>
    <s v="Saturday"/>
  </r>
  <r>
    <s v="TX1814"/>
    <x v="132"/>
    <x v="7"/>
    <x v="3"/>
    <x v="0"/>
    <x v="0"/>
    <n v="3"/>
    <s v="Tamamlandı"/>
    <n v="553522652"/>
    <s v="LƏ-1814"/>
    <s v="Leyla-Sumqayıt Filialina çardırılma"/>
    <n v="600"/>
    <n v="950"/>
    <x v="18"/>
    <n v="1050"/>
    <s v="0%"/>
    <d v="2026-05-31T00:00:00"/>
    <s v="Sunday"/>
  </r>
  <r>
    <s v="TX1815"/>
    <x v="96"/>
    <x v="7"/>
    <x v="2"/>
    <x v="2"/>
    <x v="1"/>
    <n v="1"/>
    <s v="Tamamlandı"/>
    <n v="551921668"/>
    <s v="LƏ-1815"/>
    <s v="Leyla-Gence Filialina çardırılma"/>
    <n v="400"/>
    <n v="650"/>
    <x v="28"/>
    <n v="250"/>
    <s v="0%"/>
    <s v=""/>
    <s v="Thursday"/>
  </r>
  <r>
    <s v="TX1816"/>
    <x v="124"/>
    <x v="4"/>
    <x v="1"/>
    <x v="0"/>
    <x v="0"/>
    <n v="4"/>
    <s v="Tamamlandı"/>
    <n v="776994195"/>
    <s v="EQ-1816"/>
    <s v="Elnur-Sumqayıt Filialina çardırılma"/>
    <n v="15"/>
    <n v="45"/>
    <x v="22"/>
    <n v="120"/>
    <s v="0%"/>
    <d v="2026-01-31T00:00:00"/>
    <s v="Saturday"/>
  </r>
  <r>
    <s v="TX1817"/>
    <x v="129"/>
    <x v="2"/>
    <x v="3"/>
    <x v="3"/>
    <x v="1"/>
    <n v="1"/>
    <s v="Tamamlandı"/>
    <n v="516745380"/>
    <s v="MI-1817"/>
    <s v="Murad-Gəncə Filialina çardırılma"/>
    <n v="600"/>
    <n v="950"/>
    <x v="16"/>
    <n v="350"/>
    <s v="0%"/>
    <s v=""/>
    <s v="Monday"/>
  </r>
  <r>
    <s v="TX1818"/>
    <x v="59"/>
    <x v="7"/>
    <x v="3"/>
    <x v="0"/>
    <x v="0"/>
    <n v="1"/>
    <s v="Tamamlandı"/>
    <n v="773438477"/>
    <s v="LƏ-1818"/>
    <s v="Leyla-Sumqayıt Filialina çardırılma"/>
    <n v="600"/>
    <n v="950"/>
    <x v="16"/>
    <n v="350"/>
    <s v="0%"/>
    <d v="2026-04-30T00:00:00"/>
    <s v="Saturday"/>
  </r>
  <r>
    <s v="TX1819"/>
    <x v="38"/>
    <x v="3"/>
    <x v="3"/>
    <x v="1"/>
    <x v="2"/>
    <n v="1"/>
    <s v="Tamamlandı"/>
    <n v="517495517"/>
    <s v="NM-1819"/>
    <s v="Nərgin-Baki Filialina çardırılma"/>
    <n v="600"/>
    <n v="950"/>
    <x v="16"/>
    <n v="350"/>
    <s v="0%"/>
    <s v=""/>
    <s v="Saturday"/>
  </r>
  <r>
    <s v="TX1820"/>
    <x v="24"/>
    <x v="4"/>
    <x v="3"/>
    <x v="2"/>
    <x v="0"/>
    <n v="1"/>
    <s v="Tamamlandı"/>
    <n v="555702343"/>
    <s v="EQ-1820"/>
    <s v="Elnur-Gence Filialina çardırılma"/>
    <n v="600"/>
    <n v="950"/>
    <x v="16"/>
    <n v="350"/>
    <s v="0%"/>
    <d v="2026-03-31T00:00:00"/>
    <s v="Monday"/>
  </r>
  <r>
    <s v="TX1821"/>
    <x v="71"/>
    <x v="1"/>
    <x v="0"/>
    <x v="1"/>
    <x v="0"/>
    <n v="9"/>
    <s v="Tamamlandı"/>
    <n v="505201699"/>
    <s v="ZM-1821"/>
    <s v="Zaur-Baki Filialina çardırılma"/>
    <n v="1200"/>
    <n v="1800"/>
    <x v="35"/>
    <n v="5400"/>
    <s v="0%"/>
    <d v="2026-01-31T00:00:00"/>
    <s v="Monday"/>
  </r>
  <r>
    <s v="TX1822"/>
    <x v="32"/>
    <x v="1"/>
    <x v="3"/>
    <x v="3"/>
    <x v="0"/>
    <n v="4"/>
    <s v="Tamamlandı"/>
    <n v="509223283"/>
    <s v="ZM-1822"/>
    <s v="Zaur-Gəncə Filialina çardırılma"/>
    <n v="600"/>
    <n v="950"/>
    <x v="29"/>
    <n v="1400"/>
    <s v="0%"/>
    <d v="2026-03-31T00:00:00"/>
    <s v="Sunday"/>
  </r>
  <r>
    <s v="TX1823"/>
    <x v="104"/>
    <x v="7"/>
    <x v="0"/>
    <x v="2"/>
    <x v="0"/>
    <n v="5"/>
    <s v="Tamamlandı"/>
    <n v="550236735"/>
    <s v="LƏ-1823"/>
    <s v="Leyla-Gence Filialina çardırılma"/>
    <n v="1200"/>
    <n v="1800"/>
    <x v="19"/>
    <n v="3000"/>
    <s v="0%"/>
    <d v="2026-02-28T00:00:00"/>
    <s v="Tuesday"/>
  </r>
  <r>
    <s v="TX1824"/>
    <x v="127"/>
    <x v="7"/>
    <x v="3"/>
    <x v="1"/>
    <x v="0"/>
    <n v="8"/>
    <s v="Tamamlandı"/>
    <n v="776137102"/>
    <s v="LƏ-1824"/>
    <s v="Leyla-Baki Filialina çardırılma"/>
    <n v="600"/>
    <n v="950"/>
    <x v="7"/>
    <n v="2800"/>
    <s v="0%"/>
    <d v="2026-02-28T00:00:00"/>
    <s v="Wednesday"/>
  </r>
  <r>
    <s v="TX1825"/>
    <x v="43"/>
    <x v="2"/>
    <x v="0"/>
    <x v="2"/>
    <x v="0"/>
    <n v="5"/>
    <s v="Tamamlandı"/>
    <n v="552101010"/>
    <s v="MI-1825"/>
    <s v="Murad-Gence Filialina çardırılma"/>
    <n v="1200"/>
    <n v="1800"/>
    <x v="19"/>
    <n v="3000"/>
    <s v="0%"/>
    <d v="2026-01-31T00:00:00"/>
    <s v="Friday"/>
  </r>
  <r>
    <s v="TX1826"/>
    <x v="49"/>
    <x v="5"/>
    <x v="2"/>
    <x v="2"/>
    <x v="2"/>
    <n v="2"/>
    <s v="Tamamlandı"/>
    <n v="517035361"/>
    <s v="ƏM-1826"/>
    <s v="Əli-Gence Filialina çardırılma"/>
    <n v="400"/>
    <n v="650"/>
    <x v="36"/>
    <n v="500"/>
    <s v="0%"/>
    <s v=""/>
    <s v="Saturday"/>
  </r>
  <r>
    <s v="TX1827"/>
    <x v="86"/>
    <x v="3"/>
    <x v="1"/>
    <x v="2"/>
    <x v="2"/>
    <n v="5"/>
    <s v="Tamamlandı"/>
    <n v="557425554"/>
    <s v="NM-1827"/>
    <s v="Nərgin-Gence Filialina çardırılma"/>
    <n v="15"/>
    <n v="45"/>
    <x v="1"/>
    <n v="150"/>
    <s v="0%"/>
    <s v=""/>
    <s v="Sunday"/>
  </r>
  <r>
    <s v="TX1828"/>
    <x v="29"/>
    <x v="2"/>
    <x v="3"/>
    <x v="3"/>
    <x v="0"/>
    <n v="7"/>
    <s v="Tamamlandı"/>
    <n v="553023686"/>
    <s v="MI-1828"/>
    <s v="Murad-Gəncə Filialina çardırılma"/>
    <n v="600"/>
    <n v="950"/>
    <x v="17"/>
    <n v="2450"/>
    <s v="0%"/>
    <d v="2026-05-31T00:00:00"/>
    <s v="Monday"/>
  </r>
  <r>
    <s v="TX1829"/>
    <x v="137"/>
    <x v="6"/>
    <x v="0"/>
    <x v="0"/>
    <x v="0"/>
    <n v="5"/>
    <s v="Tamamlandı"/>
    <n v="550957308"/>
    <s v="AV-1829"/>
    <s v="Aysel-Sumqayit Filialina çardırılma"/>
    <n v="1200"/>
    <n v="1800"/>
    <x v="19"/>
    <n v="3000"/>
    <s v="0%"/>
    <d v="2026-02-28T00:00:00"/>
    <s v="Friday"/>
  </r>
  <r>
    <s v="TX1830"/>
    <x v="29"/>
    <x v="3"/>
    <x v="0"/>
    <x v="1"/>
    <x v="2"/>
    <n v="1"/>
    <s v="Tamamlandı"/>
    <n v="705587776"/>
    <s v="NM-1830"/>
    <s v="Nərgin-Bakı Filialina çardırılma"/>
    <n v="1200"/>
    <n v="1800"/>
    <x v="11"/>
    <n v="600"/>
    <s v="0%"/>
    <s v=""/>
    <s v="Monday"/>
  </r>
  <r>
    <s v="TX1831"/>
    <x v="124"/>
    <x v="7"/>
    <x v="1"/>
    <x v="0"/>
    <x v="2"/>
    <n v="8"/>
    <s v="Tamamlandı"/>
    <n v="774990491"/>
    <s v="LƏ-1831"/>
    <s v="Leyla-Sumqayit Filialina çardırılma"/>
    <n v="15"/>
    <n v="45"/>
    <x v="14"/>
    <n v="240"/>
    <n v="40.5"/>
    <s v=""/>
    <s v="Saturday"/>
  </r>
  <r>
    <s v="TX1832"/>
    <x v="87"/>
    <x v="4"/>
    <x v="3"/>
    <x v="0"/>
    <x v="2"/>
    <n v="1"/>
    <s v="Tamamlandı"/>
    <n v="511488350"/>
    <s v="EQ-1832"/>
    <s v="Elnur-Sumqayıt Filialina çardırılma"/>
    <n v="600"/>
    <n v="950"/>
    <x v="16"/>
    <n v="350"/>
    <s v="0%"/>
    <s v=""/>
    <s v="Wednesday"/>
  </r>
  <r>
    <s v="TX1833"/>
    <x v="66"/>
    <x v="2"/>
    <x v="0"/>
    <x v="0"/>
    <x v="2"/>
    <n v="2"/>
    <s v="Tamamlandı"/>
    <n v="708985583"/>
    <s v="MI-1833"/>
    <s v="Murad-Sumqayıt Filialina çardırılma"/>
    <n v="1200"/>
    <n v="1800"/>
    <x v="13"/>
    <n v="1200"/>
    <s v="0%"/>
    <s v=""/>
    <s v="Friday"/>
  </r>
  <r>
    <s v="TX1834"/>
    <x v="68"/>
    <x v="1"/>
    <x v="1"/>
    <x v="1"/>
    <x v="0"/>
    <n v="9"/>
    <s v="Tamamlandı"/>
    <n v="512579423"/>
    <s v="ZM-1834"/>
    <s v="Zaur-Baki Filialina çardırılma"/>
    <n v="15"/>
    <n v="45"/>
    <x v="30"/>
    <n v="270"/>
    <s v="0%"/>
    <d v="2026-02-28T00:00:00"/>
    <s v="Thursday"/>
  </r>
  <r>
    <s v="TX1835"/>
    <x v="31"/>
    <x v="6"/>
    <x v="0"/>
    <x v="0"/>
    <x v="2"/>
    <n v="3"/>
    <s v="Tamamlandı"/>
    <n v="510357425"/>
    <s v="AV-1835"/>
    <s v="Aysel-Sumqayit Filialina çardırılma"/>
    <n v="1200"/>
    <n v="1800"/>
    <x v="4"/>
    <n v="1800"/>
    <s v="0%"/>
    <s v=""/>
    <s v="Thursday"/>
  </r>
  <r>
    <s v="TX1836"/>
    <x v="100"/>
    <x v="4"/>
    <x v="0"/>
    <x v="1"/>
    <x v="2"/>
    <n v="7"/>
    <s v="Tamamlandı"/>
    <n v="700364084"/>
    <s v="EQ-1836"/>
    <s v="Elnur-Bakı Filialina çardırılma"/>
    <n v="1200"/>
    <n v="1800"/>
    <x v="9"/>
    <n v="4200"/>
    <n v="1620"/>
    <s v=""/>
    <s v="Tuesday"/>
  </r>
  <r>
    <s v="TX1837"/>
    <x v="144"/>
    <x v="2"/>
    <x v="3"/>
    <x v="0"/>
    <x v="2"/>
    <n v="5"/>
    <s v="Tamamlandı"/>
    <n v="775999574"/>
    <s v="MI-1837"/>
    <s v="Murad-Sumqayit Filialina çardırılma"/>
    <n v="600"/>
    <n v="950"/>
    <x v="26"/>
    <n v="1750"/>
    <s v="0%"/>
    <s v=""/>
    <s v="Monday"/>
  </r>
  <r>
    <s v="TX1838"/>
    <x v="71"/>
    <x v="5"/>
    <x v="0"/>
    <x v="2"/>
    <x v="2"/>
    <n v="1"/>
    <s v="Tamamlandı"/>
    <n v="772695507"/>
    <s v="ƏM-1838"/>
    <s v="Əli-Gence Filialina çardırılma"/>
    <n v="1200"/>
    <n v="1800"/>
    <x v="11"/>
    <n v="600"/>
    <s v="0%"/>
    <s v=""/>
    <s v="Monday"/>
  </r>
  <r>
    <s v="TX1839"/>
    <x v="104"/>
    <x v="0"/>
    <x v="3"/>
    <x v="0"/>
    <x v="1"/>
    <n v="3"/>
    <s v="Tamamlandı"/>
    <n v="552992555"/>
    <s v="RH-1839"/>
    <s v="Ramil-Sumqayit Filialina çardırılma"/>
    <n v="600"/>
    <n v="950"/>
    <x v="18"/>
    <n v="1050"/>
    <s v="0%"/>
    <s v=""/>
    <s v="Tuesday"/>
  </r>
  <r>
    <s v="TX1840"/>
    <x v="106"/>
    <x v="2"/>
    <x v="0"/>
    <x v="4"/>
    <x v="3"/>
    <n v="2"/>
    <s v="Tamamlandı"/>
    <n v="705004621"/>
    <s v="MI-1840"/>
    <s v="Murad-Naməlum Filialina çardırılma"/>
    <n v="1200"/>
    <n v="1800"/>
    <x v="13"/>
    <n v="1200"/>
    <s v="0%"/>
    <s v=""/>
    <s v="Thursday"/>
  </r>
  <r>
    <s v="TX1841"/>
    <x v="135"/>
    <x v="5"/>
    <x v="0"/>
    <x v="2"/>
    <x v="1"/>
    <n v="6"/>
    <s v="Tamamlandı"/>
    <n v="704818245"/>
    <s v="ƏM-1841"/>
    <s v="Əli-Gence Filialina çardırılma"/>
    <n v="1200"/>
    <n v="1800"/>
    <x v="3"/>
    <n v="3600"/>
    <s v="0%"/>
    <s v=""/>
    <s v="Saturday"/>
  </r>
  <r>
    <s v="TX1842"/>
    <x v="0"/>
    <x v="7"/>
    <x v="0"/>
    <x v="1"/>
    <x v="2"/>
    <n v="4"/>
    <s v="Tamamlandı"/>
    <n v="707404855"/>
    <s v="LƏ-1842"/>
    <s v="Leyla-Bakı Filialina çardırılma"/>
    <n v="1200"/>
    <n v="1800"/>
    <x v="27"/>
    <n v="2400"/>
    <s v="0%"/>
    <s v=""/>
    <s v="Wednesday"/>
  </r>
  <r>
    <s v="TX1843"/>
    <x v="74"/>
    <x v="7"/>
    <x v="1"/>
    <x v="1"/>
    <x v="2"/>
    <n v="4"/>
    <s v="Tamamlandı"/>
    <n v="552161339"/>
    <s v="LƏ-1843"/>
    <s v="Leyla-Baki Filialina çardırılma"/>
    <n v="15"/>
    <n v="45"/>
    <x v="22"/>
    <n v="120"/>
    <s v="0%"/>
    <s v=""/>
    <s v="Sunday"/>
  </r>
  <r>
    <s v="TX1844"/>
    <x v="126"/>
    <x v="6"/>
    <x v="0"/>
    <x v="2"/>
    <x v="1"/>
    <n v="6"/>
    <s v="Tamamlandı"/>
    <n v="776065128"/>
    <s v="AV-1844"/>
    <s v="Aysel-Gence Filialina çardırılma"/>
    <n v="1200"/>
    <n v="1800"/>
    <x v="3"/>
    <n v="3600"/>
    <s v="0%"/>
    <s v=""/>
    <s v="Friday"/>
  </r>
  <r>
    <s v="TX1845"/>
    <x v="126"/>
    <x v="5"/>
    <x v="1"/>
    <x v="0"/>
    <x v="2"/>
    <n v="7"/>
    <s v="Tamamlandı"/>
    <n v="512729179"/>
    <s v="ƏM-1845"/>
    <s v="Əli-Sumqayit Filialina çardırılma"/>
    <n v="15"/>
    <n v="45"/>
    <x v="34"/>
    <n v="210"/>
    <n v="40.5"/>
    <s v=""/>
    <s v="Friday"/>
  </r>
  <r>
    <s v="TX1846"/>
    <x v="47"/>
    <x v="5"/>
    <x v="3"/>
    <x v="0"/>
    <x v="1"/>
    <n v="1"/>
    <s v="Tamamlandı"/>
    <n v="505161285"/>
    <s v="ƏM-1846"/>
    <s v="Əli-Sumqayıt Filialina çardırılma"/>
    <n v="600"/>
    <n v="950"/>
    <x v="16"/>
    <n v="350"/>
    <s v="0%"/>
    <s v=""/>
    <s v="Sunday"/>
  </r>
  <r>
    <s v="TX1847"/>
    <x v="64"/>
    <x v="4"/>
    <x v="1"/>
    <x v="1"/>
    <x v="1"/>
    <n v="6"/>
    <s v="Tamamlandı"/>
    <n v="518667813"/>
    <s v="EQ-1847"/>
    <s v="Elnur-Baki Filialina çardırılma"/>
    <n v="15"/>
    <n v="45"/>
    <x v="31"/>
    <n v="180"/>
    <s v="0%"/>
    <s v=""/>
    <s v="Friday"/>
  </r>
  <r>
    <s v="TX1848"/>
    <x v="29"/>
    <x v="2"/>
    <x v="0"/>
    <x v="0"/>
    <x v="0"/>
    <n v="2"/>
    <s v="Tamamlandı"/>
    <n v="706806923"/>
    <s v="MI-1848"/>
    <s v="Murad-Sumqayıt Filialina çardırılma"/>
    <n v="1200"/>
    <n v="1800"/>
    <x v="13"/>
    <n v="1200"/>
    <s v="0%"/>
    <d v="2026-05-31T00:00:00"/>
    <s v="Monday"/>
  </r>
  <r>
    <s v="TX1849"/>
    <x v="112"/>
    <x v="7"/>
    <x v="3"/>
    <x v="1"/>
    <x v="0"/>
    <n v="1"/>
    <s v="Tamamlandı"/>
    <n v="510634173"/>
    <s v="LƏ-1849"/>
    <s v="Leyla-Bakı Filialina çardırılma"/>
    <n v="600"/>
    <n v="950"/>
    <x v="16"/>
    <n v="350"/>
    <s v="0%"/>
    <d v="2026-04-30T00:00:00"/>
    <s v="Thursday"/>
  </r>
  <r>
    <s v="TX1850"/>
    <x v="108"/>
    <x v="2"/>
    <x v="3"/>
    <x v="0"/>
    <x v="1"/>
    <n v="10"/>
    <s v="Tamamlandı"/>
    <n v="773306664"/>
    <s v="MI-1850"/>
    <s v="Murad-Sumqayit Filialina çardırılma"/>
    <n v="600"/>
    <n v="950"/>
    <x v="8"/>
    <n v="3500"/>
    <s v="0%"/>
    <s v=""/>
    <s v="Monday"/>
  </r>
  <r>
    <s v="TX1851"/>
    <x v="126"/>
    <x v="7"/>
    <x v="1"/>
    <x v="0"/>
    <x v="2"/>
    <n v="2"/>
    <s v="Tamamlandı"/>
    <n v="502314035"/>
    <s v="LƏ-1851"/>
    <s v="Leyla-Sumqayıt Filialina çardırılma"/>
    <n v="15"/>
    <n v="45"/>
    <x v="32"/>
    <n v="60"/>
    <s v="0%"/>
    <s v=""/>
    <s v="Friday"/>
  </r>
  <r>
    <s v="TX1852"/>
    <x v="94"/>
    <x v="1"/>
    <x v="0"/>
    <x v="1"/>
    <x v="0"/>
    <n v="3"/>
    <s v="Tamamlandı"/>
    <n v="776097441"/>
    <s v="ZM-1852"/>
    <s v="Zaur-Bakı Filialina çardırılma"/>
    <n v="1200"/>
    <n v="1800"/>
    <x v="4"/>
    <n v="1800"/>
    <s v="0%"/>
    <d v="2026-04-30T00:00:00"/>
    <s v="Sunday"/>
  </r>
  <r>
    <s v="TX1853"/>
    <x v="146"/>
    <x v="7"/>
    <x v="3"/>
    <x v="3"/>
    <x v="0"/>
    <n v="2"/>
    <s v="Tamamlandı"/>
    <n v="770443684"/>
    <s v="LƏ-1853"/>
    <s v="Leyla-Gəncə Filialina çardırılma"/>
    <n v="600"/>
    <n v="950"/>
    <x v="21"/>
    <n v="700"/>
    <s v="0%"/>
    <d v="2026-02-28T00:00:00"/>
    <s v="Tuesday"/>
  </r>
  <r>
    <s v="TX1854"/>
    <x v="70"/>
    <x v="5"/>
    <x v="1"/>
    <x v="0"/>
    <x v="2"/>
    <n v="4"/>
    <s v="Tamamlandı"/>
    <n v="501044841"/>
    <s v="ƏM-1854"/>
    <s v="Əli-Sumqayıt Filialina çardırılma"/>
    <n v="15"/>
    <n v="45"/>
    <x v="22"/>
    <n v="120"/>
    <s v="0%"/>
    <s v=""/>
    <s v="Thursday"/>
  </r>
  <r>
    <s v="TX1855"/>
    <x v="30"/>
    <x v="1"/>
    <x v="0"/>
    <x v="2"/>
    <x v="2"/>
    <n v="7"/>
    <s v="Tamamlandı"/>
    <n v="516451521"/>
    <s v="ZM-1855"/>
    <s v="Zaur-Gence Filialina çardırılma"/>
    <n v="1200"/>
    <n v="1800"/>
    <x v="9"/>
    <n v="4200"/>
    <n v="1620"/>
    <s v=""/>
    <s v="Tuesday"/>
  </r>
  <r>
    <s v="TX1856"/>
    <x v="14"/>
    <x v="4"/>
    <x v="3"/>
    <x v="3"/>
    <x v="0"/>
    <n v="6"/>
    <s v="Tamamlandı"/>
    <n v="506605596"/>
    <s v="EQ-1856"/>
    <s v="Elnur-Gəncə Filialina çardırılma"/>
    <n v="600"/>
    <n v="950"/>
    <x v="15"/>
    <n v="2100"/>
    <s v="0%"/>
    <d v="2026-03-31T00:00:00"/>
    <s v="Tuesday"/>
  </r>
  <r>
    <s v="TX1857"/>
    <x v="132"/>
    <x v="5"/>
    <x v="3"/>
    <x v="2"/>
    <x v="0"/>
    <n v="4"/>
    <s v="Tamamlandı"/>
    <n v="779340076"/>
    <s v="ƏM-1857"/>
    <s v="Əli-Gence Filialina çardırılma"/>
    <n v="600"/>
    <n v="950"/>
    <x v="29"/>
    <n v="1400"/>
    <s v="0%"/>
    <d v="2026-05-31T00:00:00"/>
    <s v="Sunday"/>
  </r>
  <r>
    <s v="TX1858"/>
    <x v="0"/>
    <x v="4"/>
    <x v="3"/>
    <x v="0"/>
    <x v="1"/>
    <n v="7"/>
    <s v="Tamamlandı"/>
    <n v="702473506"/>
    <s v="EQ-1858"/>
    <s v="Elnur-Sumqayıt Filialina çardırılma"/>
    <n v="600"/>
    <n v="950"/>
    <x v="17"/>
    <n v="2450"/>
    <s v="0%"/>
    <s v=""/>
    <s v="Wednesday"/>
  </r>
  <r>
    <s v="TX1859"/>
    <x v="65"/>
    <x v="6"/>
    <x v="0"/>
    <x v="1"/>
    <x v="2"/>
    <n v="1"/>
    <s v="Tamamlandı"/>
    <n v="552431157"/>
    <s v="AV-1859"/>
    <s v="Aysel-Bakı Filialina çardırılma"/>
    <n v="1200"/>
    <n v="1800"/>
    <x v="11"/>
    <n v="600"/>
    <s v="0%"/>
    <s v=""/>
    <s v="Saturday"/>
  </r>
  <r>
    <s v="TX1860"/>
    <x v="31"/>
    <x v="3"/>
    <x v="1"/>
    <x v="1"/>
    <x v="0"/>
    <n v="8"/>
    <s v="Tamamlandı"/>
    <n v="555435889"/>
    <s v="NM-1860"/>
    <s v="Nərgin-Bakı Filialina çardırılma"/>
    <n v="15"/>
    <n v="45"/>
    <x v="14"/>
    <n v="240"/>
    <s v="0%"/>
    <d v="2026-05-31T00:00:00"/>
    <s v="Thursday"/>
  </r>
  <r>
    <s v="TX1861"/>
    <x v="146"/>
    <x v="4"/>
    <x v="1"/>
    <x v="3"/>
    <x v="1"/>
    <n v="2"/>
    <s v="Tamamlandı"/>
    <n v="706109727"/>
    <s v="EQ-1861"/>
    <s v="Elnur-Gəncə Filialina çardırılma"/>
    <n v="15"/>
    <n v="45"/>
    <x v="32"/>
    <n v="60"/>
    <s v="0%"/>
    <s v=""/>
    <s v="Tuesday"/>
  </r>
  <r>
    <s v="TX1862"/>
    <x v="3"/>
    <x v="7"/>
    <x v="1"/>
    <x v="1"/>
    <x v="2"/>
    <n v="2"/>
    <s v="Tamamlandı"/>
    <n v="701491329"/>
    <s v="LƏ-1862"/>
    <s v="Leyla-Bakı Filialina çardırılma"/>
    <n v="15"/>
    <n v="45"/>
    <x v="32"/>
    <n v="60"/>
    <s v="0%"/>
    <s v=""/>
    <s v="Friday"/>
  </r>
  <r>
    <s v="TX1863"/>
    <x v="130"/>
    <x v="4"/>
    <x v="3"/>
    <x v="0"/>
    <x v="0"/>
    <n v="7"/>
    <s v="Tamamlandı"/>
    <n v="504133067"/>
    <s v="EQ-1863"/>
    <s v="Elnur-Sumqayit Filialina çardırılma"/>
    <n v="600"/>
    <n v="950"/>
    <x v="17"/>
    <n v="2450"/>
    <s v="0%"/>
    <d v="2026-03-31T00:00:00"/>
    <s v="Monday"/>
  </r>
  <r>
    <s v="TX1864"/>
    <x v="33"/>
    <x v="4"/>
    <x v="2"/>
    <x v="1"/>
    <x v="2"/>
    <n v="10"/>
    <s v="Tamamlandı"/>
    <n v="705657691"/>
    <s v="EQ-1864"/>
    <s v="Elnur-Bakı Filialina çardırılma"/>
    <n v="400"/>
    <n v="650"/>
    <x v="6"/>
    <n v="2500"/>
    <n v="585"/>
    <s v=""/>
    <s v="Thursday"/>
  </r>
  <r>
    <s v="TX1865"/>
    <x v="85"/>
    <x v="3"/>
    <x v="1"/>
    <x v="0"/>
    <x v="1"/>
    <n v="4"/>
    <s v="Tamamlandı"/>
    <n v="776226166"/>
    <s v="NM-1865"/>
    <s v="Nərgin-Sumqayıt Filialina çardırılma"/>
    <n v="15"/>
    <n v="45"/>
    <x v="22"/>
    <n v="120"/>
    <s v="0%"/>
    <s v=""/>
    <s v="Thursday"/>
  </r>
  <r>
    <s v="TX1866"/>
    <x v="132"/>
    <x v="3"/>
    <x v="1"/>
    <x v="3"/>
    <x v="0"/>
    <n v="3"/>
    <s v="Tamamlandı"/>
    <n v="552866121"/>
    <s v="NM-1866"/>
    <s v="Nərgin-Gəncə Filialina çardırılma"/>
    <n v="15"/>
    <n v="45"/>
    <x v="5"/>
    <n v="90"/>
    <s v="0%"/>
    <d v="2026-05-31T00:00:00"/>
    <s v="Sunday"/>
  </r>
  <r>
    <s v="TX1867"/>
    <x v="16"/>
    <x v="4"/>
    <x v="3"/>
    <x v="1"/>
    <x v="2"/>
    <n v="9"/>
    <s v="Tamamlandı"/>
    <n v="505434809"/>
    <s v="EQ-1867"/>
    <s v="Elnur-Baki Filialina çardırılma"/>
    <n v="600"/>
    <n v="950"/>
    <x v="10"/>
    <n v="3150"/>
    <n v="855"/>
    <s v=""/>
    <s v="Thursday"/>
  </r>
  <r>
    <s v="TX1868"/>
    <x v="113"/>
    <x v="6"/>
    <x v="1"/>
    <x v="0"/>
    <x v="2"/>
    <n v="3"/>
    <s v="Tamamlandı"/>
    <n v="704383219"/>
    <s v="AV-1868"/>
    <s v="Aysel-Sumqayıt Filialina çardırılma"/>
    <n v="15"/>
    <n v="45"/>
    <x v="5"/>
    <n v="90"/>
    <s v="0%"/>
    <s v=""/>
    <s v="Saturday"/>
  </r>
  <r>
    <s v="TX1869"/>
    <x v="18"/>
    <x v="5"/>
    <x v="3"/>
    <x v="2"/>
    <x v="0"/>
    <n v="5"/>
    <s v="Tamamlandı"/>
    <n v="554467126"/>
    <s v="ƏM-1869"/>
    <s v="Əli-Gence Filialina çardırılma"/>
    <n v="600"/>
    <n v="950"/>
    <x v="26"/>
    <n v="1750"/>
    <s v="0%"/>
    <d v="2026-05-31T00:00:00"/>
    <s v="Saturday"/>
  </r>
  <r>
    <s v="TX1870"/>
    <x v="120"/>
    <x v="5"/>
    <x v="1"/>
    <x v="3"/>
    <x v="0"/>
    <n v="2"/>
    <s v="Tamamlandı"/>
    <n v="555526315"/>
    <s v="ƏM-1870"/>
    <s v="Əli-Gəncə Filialina çardırılma"/>
    <n v="15"/>
    <n v="45"/>
    <x v="32"/>
    <n v="60"/>
    <s v="0%"/>
    <d v="2026-05-31T00:00:00"/>
    <s v="Thursday"/>
  </r>
  <r>
    <s v="TX1871"/>
    <x v="84"/>
    <x v="5"/>
    <x v="0"/>
    <x v="2"/>
    <x v="2"/>
    <n v="9"/>
    <s v="Tamamlandı"/>
    <n v="511882214"/>
    <s v="ƏM-1871"/>
    <s v="Əli-Gence Filialina çardırılma"/>
    <n v="1200"/>
    <n v="1800"/>
    <x v="35"/>
    <n v="5400"/>
    <n v="1620"/>
    <s v=""/>
    <s v="Sunday"/>
  </r>
  <r>
    <s v="TX1872"/>
    <x v="101"/>
    <x v="4"/>
    <x v="0"/>
    <x v="1"/>
    <x v="2"/>
    <n v="3"/>
    <s v="Tamamlandı"/>
    <n v="501220202"/>
    <s v="EQ-1872"/>
    <s v="Elnur-Bakı Filialina çardırılma"/>
    <n v="1200"/>
    <n v="1800"/>
    <x v="4"/>
    <n v="1800"/>
    <s v="0%"/>
    <s v=""/>
    <s v="Sunday"/>
  </r>
  <r>
    <s v="TX1873"/>
    <x v="96"/>
    <x v="1"/>
    <x v="2"/>
    <x v="1"/>
    <x v="2"/>
    <n v="4"/>
    <s v="Tamamlandı"/>
    <n v="500013108"/>
    <s v="ZM-1873"/>
    <s v="Zaur-Baki Filialina çardırılma"/>
    <n v="400"/>
    <n v="650"/>
    <x v="20"/>
    <n v="1000"/>
    <s v="0%"/>
    <s v=""/>
    <s v="Thursday"/>
  </r>
  <r>
    <s v="TX1874"/>
    <x v="39"/>
    <x v="5"/>
    <x v="1"/>
    <x v="2"/>
    <x v="2"/>
    <n v="2"/>
    <s v="Tamamlandı"/>
    <n v="550109632"/>
    <s v="ƏM-1874"/>
    <s v="Əli-Gence Filialina çardırılma"/>
    <n v="15"/>
    <n v="45"/>
    <x v="32"/>
    <n v="60"/>
    <s v="0%"/>
    <s v=""/>
    <s v="Monday"/>
  </r>
  <r>
    <s v="TX1875"/>
    <x v="120"/>
    <x v="5"/>
    <x v="0"/>
    <x v="4"/>
    <x v="2"/>
    <n v="7"/>
    <s v="Tamamlandı"/>
    <n v="708594479"/>
    <s v="ƏM-1875"/>
    <s v="Əli-Naməlum Filialina çardırılma"/>
    <n v="1200"/>
    <n v="1800"/>
    <x v="9"/>
    <n v="4200"/>
    <n v="1620"/>
    <s v=""/>
    <s v="Thursday"/>
  </r>
  <r>
    <s v="TX1876"/>
    <x v="10"/>
    <x v="4"/>
    <x v="3"/>
    <x v="0"/>
    <x v="2"/>
    <n v="5"/>
    <s v="Tamamlandı"/>
    <n v="513402233"/>
    <s v="EQ-1876"/>
    <s v="Elnur-Sumqayit Filialina çardırılma"/>
    <n v="600"/>
    <n v="950"/>
    <x v="26"/>
    <n v="1750"/>
    <s v="0%"/>
    <s v=""/>
    <s v="Tuesday"/>
  </r>
  <r>
    <s v="TX1877"/>
    <x v="53"/>
    <x v="3"/>
    <x v="0"/>
    <x v="3"/>
    <x v="0"/>
    <n v="8"/>
    <s v="Tamamlandı"/>
    <n v="507921062"/>
    <s v="NM-1877"/>
    <s v="Nərgin-Gəncə Filialina çardırılma"/>
    <n v="1200"/>
    <n v="1800"/>
    <x v="0"/>
    <n v="4800"/>
    <s v="0%"/>
    <d v="2026-05-31T00:00:00"/>
    <s v="Monday"/>
  </r>
  <r>
    <s v="TX1878"/>
    <x v="47"/>
    <x v="0"/>
    <x v="0"/>
    <x v="1"/>
    <x v="2"/>
    <n v="2"/>
    <s v="Tamamlandı"/>
    <n v="700032427"/>
    <s v="RH-1878"/>
    <s v="Ramil-Bakı Filialina çardırılma"/>
    <n v="1200"/>
    <n v="1800"/>
    <x v="13"/>
    <n v="1200"/>
    <s v="0%"/>
    <s v=""/>
    <s v="Sunday"/>
  </r>
  <r>
    <s v="TX1879"/>
    <x v="54"/>
    <x v="4"/>
    <x v="3"/>
    <x v="0"/>
    <x v="2"/>
    <n v="10"/>
    <s v="Tamamlandı"/>
    <n v="551644806"/>
    <s v="EQ-1879"/>
    <s v="Elnur-Sumqayit Filialina çardırılma"/>
    <n v="600"/>
    <n v="950"/>
    <x v="8"/>
    <n v="3500"/>
    <n v="855"/>
    <s v=""/>
    <s v="Sunday"/>
  </r>
  <r>
    <s v="TX1880"/>
    <x v="9"/>
    <x v="2"/>
    <x v="2"/>
    <x v="2"/>
    <x v="2"/>
    <n v="8"/>
    <s v="Tamamlandı"/>
    <n v="779033136"/>
    <s v="MI-1880"/>
    <s v="Murad-Gence Filialina çardırılma"/>
    <n v="400"/>
    <n v="650"/>
    <x v="23"/>
    <n v="2000"/>
    <n v="585"/>
    <s v=""/>
    <s v="Thursday"/>
  </r>
  <r>
    <s v="TX1881"/>
    <x v="111"/>
    <x v="6"/>
    <x v="0"/>
    <x v="1"/>
    <x v="2"/>
    <n v="7"/>
    <s v="Tamamlandı"/>
    <n v="511464650"/>
    <s v="AV-1881"/>
    <s v="Aysel-Baki Filialina çardırılma"/>
    <n v="1200"/>
    <n v="1800"/>
    <x v="9"/>
    <n v="4200"/>
    <n v="1620"/>
    <s v=""/>
    <s v="Friday"/>
  </r>
  <r>
    <s v="TX1882"/>
    <x v="137"/>
    <x v="4"/>
    <x v="0"/>
    <x v="3"/>
    <x v="2"/>
    <n v="6"/>
    <s v="Tamamlandı"/>
    <n v="557896243"/>
    <s v="EQ-1882"/>
    <s v="Elnur-Gəncə Filialina çardırılma"/>
    <n v="1200"/>
    <n v="1800"/>
    <x v="3"/>
    <n v="3600"/>
    <n v="1620"/>
    <s v=""/>
    <s v="Friday"/>
  </r>
  <r>
    <s v="TX1883"/>
    <x v="140"/>
    <x v="3"/>
    <x v="2"/>
    <x v="1"/>
    <x v="1"/>
    <n v="7"/>
    <s v="Tamamlandı"/>
    <n v="518996398"/>
    <s v="NM-1883"/>
    <s v="Nərgin-Baki Filialina çardırılma"/>
    <n v="400"/>
    <n v="650"/>
    <x v="39"/>
    <n v="1750"/>
    <s v="0%"/>
    <s v=""/>
    <s v="Monday"/>
  </r>
  <r>
    <s v="TX1884"/>
    <x v="109"/>
    <x v="6"/>
    <x v="3"/>
    <x v="0"/>
    <x v="0"/>
    <n v="1"/>
    <s v="Tamamlandı"/>
    <n v="776543163"/>
    <s v="AV-1884"/>
    <s v="Aysel-Sumqayıt Filialina çardırılma"/>
    <n v="600"/>
    <n v="950"/>
    <x v="16"/>
    <n v="350"/>
    <s v="0%"/>
    <d v="2026-04-30T00:00:00"/>
    <s v="Thursday"/>
  </r>
  <r>
    <s v="TX1885"/>
    <x v="49"/>
    <x v="1"/>
    <x v="1"/>
    <x v="0"/>
    <x v="1"/>
    <n v="1"/>
    <s v="Tamamlandı"/>
    <n v="702585817"/>
    <s v="ZM-1885"/>
    <s v="Zaur-Sumqayıt Filialina çardırılma"/>
    <n v="15"/>
    <n v="45"/>
    <x v="2"/>
    <n v="30"/>
    <s v="0%"/>
    <s v=""/>
    <s v="Saturday"/>
  </r>
  <r>
    <s v="TX1886"/>
    <x v="59"/>
    <x v="5"/>
    <x v="0"/>
    <x v="0"/>
    <x v="2"/>
    <n v="4"/>
    <s v="Tamamlandı"/>
    <n v="501787467"/>
    <s v="ƏM-1886"/>
    <s v="Əli-Sumqayit Filialina çardırılma"/>
    <n v="1200"/>
    <n v="1800"/>
    <x v="27"/>
    <n v="2400"/>
    <s v="0%"/>
    <s v=""/>
    <s v="Saturday"/>
  </r>
  <r>
    <s v="TX1887"/>
    <x v="83"/>
    <x v="6"/>
    <x v="3"/>
    <x v="1"/>
    <x v="1"/>
    <n v="10"/>
    <s v="Tamamlandı"/>
    <n v="557054088"/>
    <s v="AV-1887"/>
    <s v="Aysel-Bakı Filialina çardırılma"/>
    <n v="600"/>
    <n v="950"/>
    <x v="8"/>
    <n v="3500"/>
    <s v="0%"/>
    <s v=""/>
    <s v="Friday"/>
  </r>
  <r>
    <s v="TX1888"/>
    <x v="62"/>
    <x v="4"/>
    <x v="1"/>
    <x v="3"/>
    <x v="2"/>
    <n v="8"/>
    <s v="Tamamlandı"/>
    <n v="772080633"/>
    <s v="EQ-1888"/>
    <s v="Elnur-Gəncə Filialina çardırılma"/>
    <n v="15"/>
    <n v="45"/>
    <x v="14"/>
    <n v="240"/>
    <n v="40.5"/>
    <s v=""/>
    <s v="Sunday"/>
  </r>
  <r>
    <s v="TX1889"/>
    <x v="28"/>
    <x v="3"/>
    <x v="1"/>
    <x v="0"/>
    <x v="1"/>
    <n v="1"/>
    <s v="Tamamlandı"/>
    <n v="702658630"/>
    <s v="NM-1889"/>
    <s v="Nərgin-Sumqayıt Filialina çardırılma"/>
    <n v="15"/>
    <n v="45"/>
    <x v="2"/>
    <n v="30"/>
    <s v="0%"/>
    <s v=""/>
    <s v="Sunday"/>
  </r>
  <r>
    <s v="TX1890"/>
    <x v="18"/>
    <x v="5"/>
    <x v="2"/>
    <x v="1"/>
    <x v="2"/>
    <n v="5"/>
    <s v="Tamamlandı"/>
    <n v="507136493"/>
    <s v="ƏM-1890"/>
    <s v="Əli-Bakı Filialina çardırılma"/>
    <n v="400"/>
    <n v="650"/>
    <x v="12"/>
    <n v="1250"/>
    <s v="0%"/>
    <s v=""/>
    <s v="Saturday"/>
  </r>
  <r>
    <s v="TX1891"/>
    <x v="85"/>
    <x v="7"/>
    <x v="3"/>
    <x v="1"/>
    <x v="1"/>
    <n v="3"/>
    <s v="Tamamlandı"/>
    <n v="558438538"/>
    <s v="LƏ-1891"/>
    <s v="Leyla-Baki Filialina çardırılma"/>
    <n v="600"/>
    <n v="950"/>
    <x v="18"/>
    <n v="1050"/>
    <s v="0%"/>
    <s v=""/>
    <s v="Thursday"/>
  </r>
  <r>
    <s v="TX1892"/>
    <x v="146"/>
    <x v="0"/>
    <x v="1"/>
    <x v="0"/>
    <x v="2"/>
    <n v="2"/>
    <s v="Tamamlandı"/>
    <n v="511690064"/>
    <s v="RH-1892"/>
    <s v="Ramil-Sumqayit Filialina çardırılma"/>
    <n v="15"/>
    <n v="45"/>
    <x v="32"/>
    <n v="60"/>
    <s v="0%"/>
    <s v=""/>
    <s v="Tuesday"/>
  </r>
  <r>
    <s v="TX1893"/>
    <x v="132"/>
    <x v="4"/>
    <x v="3"/>
    <x v="2"/>
    <x v="0"/>
    <n v="8"/>
    <s v="Tamamlandı"/>
    <n v="558507108"/>
    <s v="EQ-1893"/>
    <s v="Elnur-Gence Filialina çardırılma"/>
    <n v="600"/>
    <n v="950"/>
    <x v="7"/>
    <n v="2800"/>
    <s v="0%"/>
    <d v="2026-05-31T00:00:00"/>
    <s v="Sunday"/>
  </r>
  <r>
    <s v="TX1894"/>
    <x v="137"/>
    <x v="6"/>
    <x v="1"/>
    <x v="0"/>
    <x v="1"/>
    <n v="10"/>
    <s v="Tamamlandı"/>
    <n v="778920519"/>
    <s v="AV-1894"/>
    <s v="Aysel-Sumqayıt Filialina çardırılma"/>
    <n v="15"/>
    <n v="45"/>
    <x v="24"/>
    <n v="300"/>
    <s v="0%"/>
    <s v=""/>
    <s v="Friday"/>
  </r>
  <r>
    <s v="TX1895"/>
    <x v="78"/>
    <x v="3"/>
    <x v="1"/>
    <x v="0"/>
    <x v="0"/>
    <n v="8"/>
    <s v="Tamamlandı"/>
    <n v="508090400"/>
    <s v="NM-1895"/>
    <s v="Nərgin-Sumqayit Filialina çardırılma"/>
    <n v="15"/>
    <n v="45"/>
    <x v="14"/>
    <n v="240"/>
    <s v="0%"/>
    <d v="2026-03-31T00:00:00"/>
    <s v="Monday"/>
  </r>
  <r>
    <s v="TX1896"/>
    <x v="116"/>
    <x v="4"/>
    <x v="3"/>
    <x v="0"/>
    <x v="0"/>
    <n v="10"/>
    <s v="Tamamlandı"/>
    <n v="771425254"/>
    <s v="EQ-1896"/>
    <s v="Elnur-Sumqayıt Filialina çardırılma"/>
    <n v="600"/>
    <n v="950"/>
    <x v="8"/>
    <n v="3500"/>
    <s v="0%"/>
    <d v="2026-03-31T00:00:00"/>
    <s v="Saturday"/>
  </r>
  <r>
    <s v="TX1897"/>
    <x v="124"/>
    <x v="2"/>
    <x v="3"/>
    <x v="2"/>
    <x v="1"/>
    <n v="6"/>
    <s v="Tamamlandı"/>
    <n v="500882462"/>
    <s v="MI-1897"/>
    <s v="Murad-Gence Filialina çardırılma"/>
    <n v="600"/>
    <n v="950"/>
    <x v="15"/>
    <n v="2100"/>
    <s v="0%"/>
    <s v=""/>
    <s v="Saturday"/>
  </r>
  <r>
    <s v="TX1898"/>
    <x v="92"/>
    <x v="0"/>
    <x v="2"/>
    <x v="2"/>
    <x v="1"/>
    <n v="8"/>
    <s v="Tamamlandı"/>
    <n v="706160151"/>
    <s v="RH-1898"/>
    <s v="Ramil-Gence Filialina çardırılma"/>
    <n v="400"/>
    <n v="650"/>
    <x v="23"/>
    <n v="2000"/>
    <s v="0%"/>
    <s v=""/>
    <s v="Saturday"/>
  </r>
  <r>
    <s v="TX1899"/>
    <x v="14"/>
    <x v="6"/>
    <x v="2"/>
    <x v="2"/>
    <x v="0"/>
    <n v="5"/>
    <s v="Tamamlandı"/>
    <n v="550869975"/>
    <s v="AV-1899"/>
    <s v="Aysel-Gence Filialina çardırılma"/>
    <n v="400"/>
    <n v="650"/>
    <x v="12"/>
    <n v="1250"/>
    <s v="0%"/>
    <d v="2026-03-31T00:00:00"/>
    <s v="Tuesday"/>
  </r>
  <r>
    <s v="TX1900"/>
    <x v="51"/>
    <x v="7"/>
    <x v="1"/>
    <x v="0"/>
    <x v="3"/>
    <n v="10"/>
    <s v="Tamamlandı"/>
    <n v="776968996"/>
    <s v="LƏ-1900"/>
    <s v="Leyla-Sumqayit Filialina çardırılma"/>
    <n v="15"/>
    <n v="45"/>
    <x v="24"/>
    <n v="300"/>
    <s v="0%"/>
    <s v=""/>
    <s v="Saturday"/>
  </r>
  <r>
    <s v="TX1901"/>
    <x v="57"/>
    <x v="3"/>
    <x v="1"/>
    <x v="2"/>
    <x v="1"/>
    <n v="5"/>
    <s v="Tamamlandı"/>
    <n v="518329864"/>
    <s v="NM-1901"/>
    <s v="Nərgin-Gence Filialina çardırılma"/>
    <n v="15"/>
    <n v="45"/>
    <x v="1"/>
    <n v="150"/>
    <s v="0%"/>
    <s v=""/>
    <s v="Thursday"/>
  </r>
  <r>
    <s v="TX1902"/>
    <x v="64"/>
    <x v="5"/>
    <x v="3"/>
    <x v="0"/>
    <x v="0"/>
    <n v="7"/>
    <s v="Tamamlandı"/>
    <n v="515763238"/>
    <s v="ƏM-1902"/>
    <s v="Əli-Sumqayit Filialina çardırılma"/>
    <n v="600"/>
    <n v="950"/>
    <x v="17"/>
    <n v="2450"/>
    <s v="0%"/>
    <d v="2026-03-31T00:00:00"/>
    <s v="Friday"/>
  </r>
  <r>
    <s v="TX1903"/>
    <x v="62"/>
    <x v="6"/>
    <x v="2"/>
    <x v="2"/>
    <x v="0"/>
    <n v="10"/>
    <s v="Tamamlandı"/>
    <n v="514444584"/>
    <s v="AV-1903"/>
    <s v="Aysel-Gence Filialina çardırılma"/>
    <n v="400"/>
    <n v="650"/>
    <x v="6"/>
    <n v="2500"/>
    <s v="0%"/>
    <d v="2026-05-31T00:00:00"/>
    <s v="Sunday"/>
  </r>
  <r>
    <s v="TX1904"/>
    <x v="134"/>
    <x v="7"/>
    <x v="0"/>
    <x v="1"/>
    <x v="2"/>
    <n v="4"/>
    <s v="Tamamlandı"/>
    <n v="702656575"/>
    <s v="LƏ-1904"/>
    <s v="Leyla-Baki Filialina çardırılma"/>
    <n v="1200"/>
    <n v="1800"/>
    <x v="27"/>
    <n v="2400"/>
    <s v="0%"/>
    <s v=""/>
    <s v="Wednesday"/>
  </r>
  <r>
    <s v="TX1905"/>
    <x v="27"/>
    <x v="7"/>
    <x v="1"/>
    <x v="2"/>
    <x v="0"/>
    <n v="2"/>
    <s v="Tamamlandı"/>
    <n v="501679499"/>
    <s v="LƏ-1905"/>
    <s v="Leyla-Gence Filialina çardırılma"/>
    <n v="15"/>
    <n v="45"/>
    <x v="32"/>
    <n v="60"/>
    <s v="0%"/>
    <d v="2026-04-30T00:00:00"/>
    <s v="Friday"/>
  </r>
  <r>
    <s v="TX1906"/>
    <x v="38"/>
    <x v="6"/>
    <x v="3"/>
    <x v="1"/>
    <x v="1"/>
    <n v="6"/>
    <s v="Tamamlandı"/>
    <n v="551411119"/>
    <s v="AV-1906"/>
    <s v="Aysel-Baki Filialina çardırılma"/>
    <n v="600"/>
    <n v="950"/>
    <x v="15"/>
    <n v="2100"/>
    <s v="0%"/>
    <s v=""/>
    <s v="Saturday"/>
  </r>
  <r>
    <s v="TX1907"/>
    <x v="104"/>
    <x v="0"/>
    <x v="3"/>
    <x v="0"/>
    <x v="0"/>
    <n v="1"/>
    <s v="Tamamlandı"/>
    <n v="502322017"/>
    <s v="RH-1907"/>
    <s v="Ramil-Sumqayıt Filialina çardırılma"/>
    <n v="600"/>
    <n v="950"/>
    <x v="16"/>
    <n v="350"/>
    <s v="0%"/>
    <d v="2026-02-28T00:00:00"/>
    <s v="Tuesday"/>
  </r>
  <r>
    <s v="TX1908"/>
    <x v="41"/>
    <x v="3"/>
    <x v="3"/>
    <x v="0"/>
    <x v="2"/>
    <n v="2"/>
    <s v="Tamamlandı"/>
    <n v="502187169"/>
    <s v="NM-1908"/>
    <s v="Nərgin-Sumqayıt Filialina çardırılma"/>
    <n v="600"/>
    <n v="950"/>
    <x v="21"/>
    <n v="700"/>
    <s v="0%"/>
    <s v=""/>
    <s v="Monday"/>
  </r>
  <r>
    <s v="TX1909"/>
    <x v="29"/>
    <x v="1"/>
    <x v="2"/>
    <x v="2"/>
    <x v="2"/>
    <n v="10"/>
    <s v="Tamamlandı"/>
    <n v="776653954"/>
    <s v="ZM-1909"/>
    <s v="Zaur-Gence Filialina çardırılma"/>
    <n v="400"/>
    <n v="650"/>
    <x v="6"/>
    <n v="2500"/>
    <n v="585"/>
    <s v=""/>
    <s v="Monday"/>
  </r>
  <r>
    <s v="TX1910"/>
    <x v="124"/>
    <x v="1"/>
    <x v="2"/>
    <x v="4"/>
    <x v="2"/>
    <n v="3"/>
    <s v="Tamamlandı"/>
    <n v="704811034"/>
    <s v="ZM-1910"/>
    <s v="Zaur-Naməlum Filialina çardırılma"/>
    <n v="400"/>
    <n v="650"/>
    <x v="38"/>
    <n v="750"/>
    <s v="0%"/>
    <s v=""/>
    <s v="Saturday"/>
  </r>
  <r>
    <s v="TX1911"/>
    <x v="108"/>
    <x v="1"/>
    <x v="1"/>
    <x v="1"/>
    <x v="2"/>
    <n v="1"/>
    <s v="Tamamlandı"/>
    <n v="507539423"/>
    <s v="ZM-1911"/>
    <s v="Zaur-Bakı Filialina çardırılma"/>
    <n v="15"/>
    <n v="45"/>
    <x v="2"/>
    <n v="30"/>
    <s v="0%"/>
    <s v=""/>
    <s v="Monday"/>
  </r>
  <r>
    <s v="TX1912"/>
    <x v="69"/>
    <x v="5"/>
    <x v="0"/>
    <x v="1"/>
    <x v="0"/>
    <n v="10"/>
    <s v="Tamamlandı"/>
    <n v="552243510"/>
    <s v="ƏM-1912"/>
    <s v="Əli-Baki Filialina çardırılma"/>
    <n v="1200"/>
    <n v="1800"/>
    <x v="25"/>
    <n v="6000"/>
    <s v="0%"/>
    <d v="2026-02-28T00:00:00"/>
    <s v="Wednesday"/>
  </r>
  <r>
    <s v="TX1913"/>
    <x v="56"/>
    <x v="7"/>
    <x v="1"/>
    <x v="0"/>
    <x v="2"/>
    <n v="6"/>
    <s v="Tamamlandı"/>
    <n v="556993509"/>
    <s v="LƏ-1913"/>
    <s v="Leyla-Sumqayit Filialina çardırılma"/>
    <n v="15"/>
    <n v="45"/>
    <x v="31"/>
    <n v="180"/>
    <n v="40.5"/>
    <s v=""/>
    <s v="Sunday"/>
  </r>
  <r>
    <s v="TX1914"/>
    <x v="60"/>
    <x v="5"/>
    <x v="0"/>
    <x v="1"/>
    <x v="0"/>
    <n v="6"/>
    <s v="Tamamlandı"/>
    <n v="504695993"/>
    <s v="ƏM-1914"/>
    <s v="Əli-Bakı Filialina çardırılma"/>
    <n v="1200"/>
    <n v="1800"/>
    <x v="3"/>
    <n v="3600"/>
    <s v="0%"/>
    <d v="2026-02-28T00:00:00"/>
    <s v="Saturday"/>
  </r>
  <r>
    <s v="TX1915"/>
    <x v="84"/>
    <x v="1"/>
    <x v="0"/>
    <x v="0"/>
    <x v="0"/>
    <n v="4"/>
    <s v="Tamamlandı"/>
    <n v="702201283"/>
    <s v="ZM-1915"/>
    <s v="Zaur-Sumqayit Filialina çardırılma"/>
    <n v="1200"/>
    <n v="1800"/>
    <x v="27"/>
    <n v="2400"/>
    <s v="0%"/>
    <d v="2026-04-30T00:00:00"/>
    <s v="Sunday"/>
  </r>
  <r>
    <s v="TX1916"/>
    <x v="101"/>
    <x v="6"/>
    <x v="3"/>
    <x v="0"/>
    <x v="1"/>
    <n v="4"/>
    <s v="Tamamlandı"/>
    <n v="514938285"/>
    <s v="AV-1916"/>
    <s v="Aysel-Sumqayıt Filialina çardırılma"/>
    <n v="600"/>
    <n v="950"/>
    <x v="29"/>
    <n v="1400"/>
    <s v="0%"/>
    <s v=""/>
    <s v="Sunday"/>
  </r>
  <r>
    <s v="TX1917"/>
    <x v="76"/>
    <x v="0"/>
    <x v="3"/>
    <x v="3"/>
    <x v="0"/>
    <n v="4"/>
    <s v="Tamamlandı"/>
    <n v="518403973"/>
    <s v="RH-1917"/>
    <s v="Ramil-Gəncə Filialina çardırılma"/>
    <n v="600"/>
    <n v="950"/>
    <x v="29"/>
    <n v="1400"/>
    <s v="0%"/>
    <d v="2026-04-30T00:00:00"/>
    <s v="Thursday"/>
  </r>
  <r>
    <s v="TX1918"/>
    <x v="78"/>
    <x v="7"/>
    <x v="1"/>
    <x v="0"/>
    <x v="1"/>
    <n v="10"/>
    <s v="Tamamlandı"/>
    <n v="504111948"/>
    <s v="LƏ-1918"/>
    <s v="Leyla-Sumqayit Filialina çardırılma"/>
    <n v="15"/>
    <n v="45"/>
    <x v="24"/>
    <n v="300"/>
    <s v="0%"/>
    <s v=""/>
    <s v="Monday"/>
  </r>
  <r>
    <s v="TX1919"/>
    <x v="117"/>
    <x v="7"/>
    <x v="0"/>
    <x v="1"/>
    <x v="2"/>
    <n v="1"/>
    <s v="Tamamlandı"/>
    <n v="551901174"/>
    <s v="LƏ-1919"/>
    <s v="Leyla-Bakı Filialina çardırılma"/>
    <n v="1200"/>
    <n v="1800"/>
    <x v="11"/>
    <n v="600"/>
    <s v="0%"/>
    <s v=""/>
    <s v="Wednesday"/>
  </r>
  <r>
    <s v="TX1920"/>
    <x v="29"/>
    <x v="5"/>
    <x v="3"/>
    <x v="1"/>
    <x v="0"/>
    <n v="3"/>
    <s v="Tamamlandı"/>
    <n v="512249401"/>
    <s v="ƏM-1920"/>
    <s v="Əli-Bakı Filialina çardırılma"/>
    <n v="600"/>
    <n v="950"/>
    <x v="18"/>
    <n v="1050"/>
    <s v="0%"/>
    <d v="2026-05-31T00:00:00"/>
    <s v="Monday"/>
  </r>
  <r>
    <s v="TX1921"/>
    <x v="136"/>
    <x v="1"/>
    <x v="1"/>
    <x v="1"/>
    <x v="1"/>
    <n v="3"/>
    <s v="Tamamlandı"/>
    <n v="770710682"/>
    <s v="ZM-1921"/>
    <s v="Zaur-Baki Filialina çardırılma"/>
    <n v="15"/>
    <n v="45"/>
    <x v="5"/>
    <n v="90"/>
    <s v="0%"/>
    <s v=""/>
    <s v="Sunday"/>
  </r>
  <r>
    <s v="TX1922"/>
    <x v="109"/>
    <x v="6"/>
    <x v="0"/>
    <x v="2"/>
    <x v="1"/>
    <n v="4"/>
    <s v="Tamamlandı"/>
    <n v="709890920"/>
    <s v="AV-1922"/>
    <s v="Aysel-Gence Filialina çardırılma"/>
    <n v="1200"/>
    <n v="1800"/>
    <x v="27"/>
    <n v="2400"/>
    <s v="0%"/>
    <s v=""/>
    <s v="Thursday"/>
  </r>
  <r>
    <s v="TX1923"/>
    <x v="26"/>
    <x v="3"/>
    <x v="0"/>
    <x v="1"/>
    <x v="1"/>
    <n v="10"/>
    <s v="Tamamlandı"/>
    <n v="501213456"/>
    <s v="NM-1923"/>
    <s v="Nərgin-Baki Filialina çardırılma"/>
    <n v="1200"/>
    <n v="1800"/>
    <x v="25"/>
    <n v="6000"/>
    <s v="0%"/>
    <s v=""/>
    <s v="Sunday"/>
  </r>
  <r>
    <s v="TX1924"/>
    <x v="56"/>
    <x v="4"/>
    <x v="1"/>
    <x v="1"/>
    <x v="0"/>
    <n v="8"/>
    <s v="Tamamlandı"/>
    <n v="778385111"/>
    <s v="EQ-1924"/>
    <s v="Elnur-Bakı Filialina çardırılma"/>
    <n v="15"/>
    <n v="45"/>
    <x v="14"/>
    <n v="240"/>
    <s v="0%"/>
    <d v="2026-03-31T00:00:00"/>
    <s v="Sunday"/>
  </r>
  <r>
    <s v="TX1925"/>
    <x v="87"/>
    <x v="7"/>
    <x v="1"/>
    <x v="1"/>
    <x v="0"/>
    <n v="10"/>
    <s v="Tamamlandı"/>
    <n v="504810427"/>
    <s v="LƏ-1925"/>
    <s v="Leyla-Baki Filialina çardırılma"/>
    <n v="15"/>
    <n v="45"/>
    <x v="24"/>
    <n v="300"/>
    <s v="0%"/>
    <d v="2026-02-28T00:00:00"/>
    <s v="Wednesday"/>
  </r>
  <r>
    <s v="TX1926"/>
    <x v="106"/>
    <x v="5"/>
    <x v="3"/>
    <x v="1"/>
    <x v="0"/>
    <n v="1"/>
    <s v="Tamamlandı"/>
    <n v="515741023"/>
    <s v="ƏM-1926"/>
    <s v="Əli-Baki Filialina çardırılma"/>
    <n v="600"/>
    <n v="950"/>
    <x v="16"/>
    <n v="350"/>
    <s v="0%"/>
    <d v="2026-02-28T00:00:00"/>
    <s v="Thursday"/>
  </r>
  <r>
    <s v="TX1927"/>
    <x v="14"/>
    <x v="1"/>
    <x v="1"/>
    <x v="3"/>
    <x v="0"/>
    <n v="10"/>
    <s v="Tamamlandı"/>
    <n v="705249206"/>
    <s v="ZM-1927"/>
    <s v="Zaur-Gəncə Filialina çardırılma"/>
    <n v="15"/>
    <n v="45"/>
    <x v="24"/>
    <n v="300"/>
    <s v="0%"/>
    <d v="2026-03-31T00:00:00"/>
    <s v="Tuesday"/>
  </r>
  <r>
    <s v="TX1928"/>
    <x v="92"/>
    <x v="7"/>
    <x v="0"/>
    <x v="1"/>
    <x v="0"/>
    <n v="10"/>
    <s v="Tamamlandı"/>
    <n v="775789719"/>
    <s v="LƏ-1928"/>
    <s v="Leyla-Baki Filialina çardırılma"/>
    <n v="1200"/>
    <n v="1800"/>
    <x v="25"/>
    <n v="6000"/>
    <s v="0%"/>
    <d v="2026-03-31T00:00:00"/>
    <s v="Saturday"/>
  </r>
  <r>
    <s v="TX1929"/>
    <x v="11"/>
    <x v="2"/>
    <x v="2"/>
    <x v="0"/>
    <x v="2"/>
    <n v="4"/>
    <s v="Tamamlandı"/>
    <n v="516330069"/>
    <s v="MI-1929"/>
    <s v="Murad-Sumqayıt Filialina çardırılma"/>
    <n v="400"/>
    <n v="650"/>
    <x v="20"/>
    <n v="1000"/>
    <s v="0%"/>
    <s v=""/>
    <s v="Wednesday"/>
  </r>
  <r>
    <s v="TX1930"/>
    <x v="21"/>
    <x v="3"/>
    <x v="0"/>
    <x v="1"/>
    <x v="0"/>
    <n v="10"/>
    <s v="Tamamlandı"/>
    <n v="510147080"/>
    <s v="NM-1930"/>
    <s v="Nərgin-Baki Filialina çardırılma"/>
    <n v="1200"/>
    <n v="1800"/>
    <x v="25"/>
    <n v="6000"/>
    <s v="0%"/>
    <d v="2026-02-28T00:00:00"/>
    <s v="Sunday"/>
  </r>
  <r>
    <s v="TX1931"/>
    <x v="102"/>
    <x v="2"/>
    <x v="0"/>
    <x v="1"/>
    <x v="0"/>
    <n v="6"/>
    <s v="Tamamlandı"/>
    <n v="512199502"/>
    <s v="MI-1931"/>
    <s v="Murad-Baki Filialina çardırılma"/>
    <n v="1200"/>
    <n v="1800"/>
    <x v="3"/>
    <n v="3600"/>
    <s v="0%"/>
    <d v="2026-03-31T00:00:00"/>
    <s v="Wednesday"/>
  </r>
  <r>
    <s v="TX1932"/>
    <x v="68"/>
    <x v="1"/>
    <x v="3"/>
    <x v="2"/>
    <x v="2"/>
    <n v="5"/>
    <s v="Tamamlandı"/>
    <n v="704755824"/>
    <s v="ZM-1932"/>
    <s v="Zaur-Gence Filialina çardırılma"/>
    <n v="600"/>
    <n v="950"/>
    <x v="26"/>
    <n v="1750"/>
    <s v="0%"/>
    <s v=""/>
    <s v="Thursday"/>
  </r>
  <r>
    <s v="TX1933"/>
    <x v="55"/>
    <x v="2"/>
    <x v="3"/>
    <x v="0"/>
    <x v="0"/>
    <n v="3"/>
    <s v="Tamamlandı"/>
    <n v="555441354"/>
    <s v="MI-1933"/>
    <s v="Murad-Sumqayıt Filialina çardırılma"/>
    <n v="600"/>
    <n v="950"/>
    <x v="18"/>
    <n v="1050"/>
    <s v="0%"/>
    <d v="2026-06-30T00:00:00"/>
    <s v="Tuesday"/>
  </r>
  <r>
    <s v="TX1934"/>
    <x v="122"/>
    <x v="1"/>
    <x v="1"/>
    <x v="0"/>
    <x v="0"/>
    <n v="2"/>
    <s v="Tamamlandı"/>
    <n v="557995746"/>
    <s v="ZM-1934"/>
    <s v="Zaur-Sumqayit Filialina çardırılma"/>
    <n v="15"/>
    <n v="45"/>
    <x v="32"/>
    <n v="60"/>
    <s v="0%"/>
    <d v="2026-06-30T00:00:00"/>
    <s v="Monday"/>
  </r>
  <r>
    <s v="TX1935"/>
    <x v="60"/>
    <x v="7"/>
    <x v="3"/>
    <x v="0"/>
    <x v="2"/>
    <n v="3"/>
    <s v="Tamamlandı"/>
    <n v="779634311"/>
    <s v="LƏ-1935"/>
    <s v="Leyla-Sumqayit Filialina çardırılma"/>
    <n v="600"/>
    <n v="950"/>
    <x v="18"/>
    <n v="1050"/>
    <s v="0%"/>
    <s v=""/>
    <s v="Saturday"/>
  </r>
  <r>
    <s v="TX1936"/>
    <x v="71"/>
    <x v="3"/>
    <x v="0"/>
    <x v="0"/>
    <x v="0"/>
    <n v="1"/>
    <s v="Tamamlandı"/>
    <n v="506241217"/>
    <s v="NM-1936"/>
    <s v="Nərgin-Sumqayıt Filialina çardırılma"/>
    <n v="1200"/>
    <n v="1800"/>
    <x v="11"/>
    <n v="600"/>
    <s v="0%"/>
    <d v="2026-01-31T00:00:00"/>
    <s v="Monday"/>
  </r>
  <r>
    <s v="TX1937"/>
    <x v="61"/>
    <x v="0"/>
    <x v="2"/>
    <x v="0"/>
    <x v="0"/>
    <n v="10"/>
    <s v="Tamamlandı"/>
    <n v="704475105"/>
    <s v="RH-1937"/>
    <s v="Ramil-Sumqayit Filialina çardırılma"/>
    <n v="400"/>
    <n v="650"/>
    <x v="6"/>
    <n v="2500"/>
    <s v="0%"/>
    <d v="2026-04-30T00:00:00"/>
    <s v="Saturday"/>
  </r>
  <r>
    <s v="TX1938"/>
    <x v="33"/>
    <x v="7"/>
    <x v="0"/>
    <x v="1"/>
    <x v="0"/>
    <n v="6"/>
    <s v="Tamamlandı"/>
    <n v="507119165"/>
    <s v="LƏ-1938"/>
    <s v="Leyla-Bakı Filialina çardırılma"/>
    <n v="1200"/>
    <n v="1800"/>
    <x v="3"/>
    <n v="3600"/>
    <s v="0%"/>
    <d v="2026-03-31T00:00:00"/>
    <s v="Thursday"/>
  </r>
  <r>
    <s v="TX1939"/>
    <x v="95"/>
    <x v="3"/>
    <x v="2"/>
    <x v="2"/>
    <x v="0"/>
    <n v="3"/>
    <s v="Tamamlandı"/>
    <n v="703201039"/>
    <s v="NM-1939"/>
    <s v="Nərgin-Gence Filialina çardırılma"/>
    <n v="400"/>
    <n v="650"/>
    <x v="38"/>
    <n v="750"/>
    <s v="0%"/>
    <d v="2026-01-31T00:00:00"/>
    <s v="Saturday"/>
  </r>
  <r>
    <s v="TX1940"/>
    <x v="17"/>
    <x v="5"/>
    <x v="3"/>
    <x v="2"/>
    <x v="0"/>
    <n v="3"/>
    <s v="Tamamlandı"/>
    <n v="702686705"/>
    <s v="ƏM-1940"/>
    <s v="Əli-Gence Filialina çardırılma"/>
    <n v="600"/>
    <n v="950"/>
    <x v="18"/>
    <n v="1050"/>
    <s v="0%"/>
    <d v="2026-06-30T00:00:00"/>
    <s v="Saturday"/>
  </r>
  <r>
    <s v="TX1941"/>
    <x v="61"/>
    <x v="1"/>
    <x v="1"/>
    <x v="2"/>
    <x v="0"/>
    <n v="3"/>
    <s v="Tamamlandı"/>
    <n v="707792624"/>
    <s v="ZM-1941"/>
    <s v="Zaur-Gence Filialina çardırılma"/>
    <n v="15"/>
    <n v="45"/>
    <x v="5"/>
    <n v="90"/>
    <s v="0%"/>
    <d v="2026-04-30T00:00:00"/>
    <s v="Saturday"/>
  </r>
  <r>
    <s v="TX1942"/>
    <x v="17"/>
    <x v="3"/>
    <x v="2"/>
    <x v="2"/>
    <x v="2"/>
    <n v="2"/>
    <s v="Tamamlandı"/>
    <n v="517477705"/>
    <s v="NM-1942"/>
    <s v="Nərgin-Gence Filialina çardırılma"/>
    <n v="400"/>
    <n v="650"/>
    <x v="36"/>
    <n v="500"/>
    <s v="0%"/>
    <s v=""/>
    <s v="Saturday"/>
  </r>
  <r>
    <s v="TX1943"/>
    <x v="106"/>
    <x v="5"/>
    <x v="0"/>
    <x v="1"/>
    <x v="0"/>
    <n v="5"/>
    <s v="Tamamlandı"/>
    <n v="554299322"/>
    <s v="ƏM-1943"/>
    <s v="Əli-Baki Filialina çardırılma"/>
    <n v="1200"/>
    <n v="1800"/>
    <x v="19"/>
    <n v="3000"/>
    <s v="0%"/>
    <d v="2026-02-28T00:00:00"/>
    <s v="Thursday"/>
  </r>
  <r>
    <s v="TX1944"/>
    <x v="76"/>
    <x v="0"/>
    <x v="0"/>
    <x v="3"/>
    <x v="2"/>
    <n v="5"/>
    <s v="Tamamlandı"/>
    <n v="502224724"/>
    <s v="RH-1944"/>
    <s v="Ramil-Gəncə Filialina çardırılma"/>
    <n v="1200"/>
    <n v="1800"/>
    <x v="19"/>
    <n v="3000"/>
    <s v="0%"/>
    <s v=""/>
    <s v="Thursday"/>
  </r>
  <r>
    <s v="TX1945"/>
    <x v="72"/>
    <x v="7"/>
    <x v="3"/>
    <x v="4"/>
    <x v="0"/>
    <n v="6"/>
    <s v="Tamamlandı"/>
    <n v="514708778"/>
    <s v="LƏ-1945"/>
    <s v="Leyla-Naməlum Filialina çardırılma"/>
    <n v="600"/>
    <n v="950"/>
    <x v="15"/>
    <n v="2100"/>
    <s v="0%"/>
    <d v="2026-02-28T00:00:00"/>
    <s v="Friday"/>
  </r>
  <r>
    <s v="TX1946"/>
    <x v="108"/>
    <x v="3"/>
    <x v="3"/>
    <x v="3"/>
    <x v="0"/>
    <n v="7"/>
    <s v="Tamamlandı"/>
    <n v="771561571"/>
    <s v="NM-1946"/>
    <s v="Nərgin-Gəncə Filialina çardırılma"/>
    <n v="600"/>
    <n v="950"/>
    <x v="17"/>
    <n v="2450"/>
    <s v="0%"/>
    <d v="2026-03-31T00:00:00"/>
    <s v="Monday"/>
  </r>
  <r>
    <s v="TX1947"/>
    <x v="17"/>
    <x v="6"/>
    <x v="3"/>
    <x v="0"/>
    <x v="0"/>
    <n v="2"/>
    <s v="Tamamlandı"/>
    <n v="701714486"/>
    <s v="AV-1947"/>
    <s v="Aysel-Sumqayit Filialina çardırılma"/>
    <n v="600"/>
    <n v="950"/>
    <x v="21"/>
    <n v="700"/>
    <s v="0%"/>
    <d v="2026-06-30T00:00:00"/>
    <s v="Saturday"/>
  </r>
  <r>
    <s v="TX1948"/>
    <x v="11"/>
    <x v="1"/>
    <x v="2"/>
    <x v="3"/>
    <x v="0"/>
    <n v="8"/>
    <s v="Tamamlandı"/>
    <n v="776830477"/>
    <s v="ZM-1948"/>
    <s v="Zaur-Gəncə Filialina çardırılma"/>
    <n v="400"/>
    <n v="650"/>
    <x v="23"/>
    <n v="2000"/>
    <s v="0%"/>
    <d v="2026-02-28T00:00:00"/>
    <s v="Wednesday"/>
  </r>
  <r>
    <s v="TX1949"/>
    <x v="129"/>
    <x v="4"/>
    <x v="3"/>
    <x v="0"/>
    <x v="1"/>
    <n v="9"/>
    <s v="Tamamlandı"/>
    <n v="706876722"/>
    <s v="EQ-1949"/>
    <s v="Elnur-Sumqayit Filialina çardırılma"/>
    <n v="600"/>
    <n v="950"/>
    <x v="10"/>
    <n v="3150"/>
    <s v="0%"/>
    <s v=""/>
    <s v="Monday"/>
  </r>
  <r>
    <s v="TX1950"/>
    <x v="137"/>
    <x v="6"/>
    <x v="0"/>
    <x v="1"/>
    <x v="2"/>
    <n v="2"/>
    <s v="Tamamlandı"/>
    <n v="700923951"/>
    <s v="AV-1950"/>
    <s v="Aysel-Baki Filialina çardırılma"/>
    <n v="1200"/>
    <n v="1800"/>
    <x v="13"/>
    <n v="1200"/>
    <s v="0%"/>
    <s v=""/>
    <s v="Fri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2E8941-641A-114C-8EF2-15F176A92BF0}" name="PivotTable5"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2:B51" firstHeaderRow="1" firstDataRow="1" firstDataCol="1"/>
  <pivotFields count="1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9">
        <item x="6"/>
        <item x="4"/>
        <item x="5"/>
        <item x="7"/>
        <item x="2"/>
        <item x="3"/>
        <item x="0"/>
        <item x="1"/>
        <item t="default"/>
      </items>
      <autoSortScope>
        <pivotArea dataOnly="0" outline="0" fieldPosition="0">
          <references count="1">
            <reference field="4294967294" count="1" selected="0">
              <x v="0"/>
            </reference>
          </references>
        </pivotArea>
      </autoSortScope>
    </pivotField>
    <pivotField showAll="0">
      <items count="5">
        <item x="1"/>
        <item x="0"/>
        <item x="2"/>
        <item x="3"/>
        <item t="default"/>
      </items>
    </pivotField>
    <pivotField showAll="0">
      <items count="6">
        <item x="1"/>
        <item x="2"/>
        <item x="3"/>
        <item x="4"/>
        <item x="0"/>
        <item t="default"/>
      </items>
    </pivotField>
    <pivotField showAll="0">
      <items count="5">
        <item x="1"/>
        <item x="0"/>
        <item x="2"/>
        <item x="3"/>
        <item t="default"/>
      </items>
    </pivotField>
    <pivotField showAll="0"/>
    <pivotField showAll="0"/>
    <pivotField numFmtId="165" showAll="0"/>
    <pivotField showAll="0"/>
    <pivotField showAll="0"/>
    <pivotField showAll="0"/>
    <pivotField showAll="0"/>
    <pivotField showAll="0">
      <items count="41">
        <item x="2"/>
        <item x="32"/>
        <item x="5"/>
        <item x="22"/>
        <item x="1"/>
        <item x="31"/>
        <item x="34"/>
        <item x="14"/>
        <item x="30"/>
        <item x="24"/>
        <item x="28"/>
        <item x="16"/>
        <item x="36"/>
        <item x="11"/>
        <item x="21"/>
        <item x="38"/>
        <item x="20"/>
        <item x="18"/>
        <item x="12"/>
        <item x="13"/>
        <item x="29"/>
        <item x="37"/>
        <item x="39"/>
        <item x="26"/>
        <item x="23"/>
        <item x="4"/>
        <item x="15"/>
        <item x="33"/>
        <item x="6"/>
        <item x="17"/>
        <item x="27"/>
        <item x="7"/>
        <item x="10"/>
        <item x="19"/>
        <item x="8"/>
        <item x="3"/>
        <item x="9"/>
        <item x="0"/>
        <item x="35"/>
        <item x="25"/>
        <item t="default"/>
      </items>
    </pivotField>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v="1"/>
    </i>
    <i>
      <x/>
    </i>
    <i>
      <x v="5"/>
    </i>
    <i>
      <x v="3"/>
    </i>
    <i>
      <x v="2"/>
    </i>
    <i>
      <x v="6"/>
    </i>
    <i>
      <x v="4"/>
    </i>
    <i>
      <x v="7"/>
    </i>
    <i t="grand">
      <x/>
    </i>
  </rowItems>
  <colItems count="1">
    <i/>
  </colItems>
  <dataFields count="1">
    <dataField name="Sum of Xalis Mənfəət" fld="14" baseField="0" baseItem="0"/>
  </dataFields>
  <pivotTableStyleInfo name="PivotStyleLight16" showRowHeaders="1" showColHeaders="1" showRowStripes="0" showColStripes="0" showLastColumn="1"/>
  <filters count="2">
    <filter fld="2" type="count" evalOrder="-1" id="42" iMeasureFld="0">
      <autoFilter ref="A1">
        <filterColumn colId="0">
          <top10 val="10" filterVal="10"/>
        </filterColumn>
      </autoFilter>
    </filter>
    <filter fld="1" type="dateBetween" evalOrder="-1" id="32" name="Tarix">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0FFCA7-8B2C-3848-98E1-1F158BFA21CE}" name="PivotTable4"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8:C35" firstHeaderRow="0" firstDataRow="1" firstDataCol="1"/>
  <pivotFields count="1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1"/>
        <item x="0"/>
        <item x="2"/>
        <item x="3"/>
        <item t="default"/>
      </items>
    </pivotField>
    <pivotField showAll="0">
      <items count="6">
        <item x="1"/>
        <item x="2"/>
        <item x="3"/>
        <item x="4"/>
        <item x="0"/>
        <item t="default"/>
      </items>
    </pivotField>
    <pivotField showAll="0">
      <items count="5">
        <item x="1"/>
        <item x="0"/>
        <item x="2"/>
        <item x="3"/>
        <item t="default"/>
      </items>
    </pivotField>
    <pivotField dataField="1" showAll="0"/>
    <pivotField showAll="0"/>
    <pivotField numFmtId="165" showAll="0"/>
    <pivotField showAll="0"/>
    <pivotField showAll="0"/>
    <pivotField showAll="0"/>
    <pivotField showAll="0"/>
    <pivotField showAll="0">
      <items count="41">
        <item x="2"/>
        <item x="32"/>
        <item x="5"/>
        <item x="22"/>
        <item x="1"/>
        <item x="31"/>
        <item x="34"/>
        <item x="14"/>
        <item x="30"/>
        <item x="24"/>
        <item x="28"/>
        <item x="16"/>
        <item x="36"/>
        <item x="11"/>
        <item x="21"/>
        <item x="38"/>
        <item x="20"/>
        <item x="18"/>
        <item x="12"/>
        <item x="13"/>
        <item x="29"/>
        <item x="37"/>
        <item x="39"/>
        <item x="26"/>
        <item x="23"/>
        <item x="4"/>
        <item x="15"/>
        <item x="33"/>
        <item x="6"/>
        <item x="17"/>
        <item x="27"/>
        <item x="7"/>
        <item x="10"/>
        <item x="19"/>
        <item x="8"/>
        <item x="3"/>
        <item x="9"/>
        <item x="0"/>
        <item x="35"/>
        <item x="25"/>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7">
    <i>
      <x v="1"/>
    </i>
    <i>
      <x v="2"/>
    </i>
    <i>
      <x v="3"/>
    </i>
    <i>
      <x v="4"/>
    </i>
    <i>
      <x v="5"/>
    </i>
    <i>
      <x v="6"/>
    </i>
    <i t="grand">
      <x/>
    </i>
  </rowItems>
  <colFields count="1">
    <field x="-2"/>
  </colFields>
  <colItems count="2">
    <i>
      <x/>
    </i>
    <i i="1">
      <x v="1"/>
    </i>
  </colItems>
  <dataFields count="2">
    <dataField name="Sum of Satış Miqdarı" fld="6" baseField="0" baseItem="0"/>
    <dataField name="Average of Satış Miqdarı2" fld="6" subtotal="average" baseField="0" baseItem="0"/>
  </dataFields>
  <pivotTableStyleInfo name="PivotStyleLight16" showRowHeaders="1" showColHeaders="1" showRowStripes="0" showColStripes="0" showLastColumn="1"/>
  <filters count="1">
    <filter fld="1" type="dateBetween" evalOrder="-1" id="32" name="Tarix">
      <autoFilter ref="A1">
        <filterColumn colId="0">
          <customFilters and="1">
            <customFilter operator="greaterThanOrEqual" val="46023"/>
            <customFilter operator="lessThanOrEqual" val="4638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2E7E5F-F80C-DC4B-B1F9-B451216452D5}"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1" firstHeaderRow="1" firstDataRow="1" firstDataCol="1"/>
  <pivotFields count="1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1"/>
        <item x="0"/>
        <item x="2"/>
        <item x="3"/>
        <item t="default"/>
      </items>
    </pivotField>
    <pivotField showAll="0">
      <items count="6">
        <item x="1"/>
        <item x="2"/>
        <item x="3"/>
        <item x="4"/>
        <item x="0"/>
        <item t="default"/>
      </items>
    </pivotField>
    <pivotField showAll="0">
      <items count="5">
        <item x="1"/>
        <item x="0"/>
        <item x="2"/>
        <item x="3"/>
        <item t="default"/>
      </items>
    </pivotField>
    <pivotField showAll="0"/>
    <pivotField showAll="0"/>
    <pivotField numFmtId="165" showAll="0"/>
    <pivotField showAll="0"/>
    <pivotField showAll="0"/>
    <pivotField showAll="0"/>
    <pivotField showAll="0"/>
    <pivotField showAll="0">
      <items count="41">
        <item x="2"/>
        <item x="32"/>
        <item x="5"/>
        <item x="22"/>
        <item x="1"/>
        <item x="31"/>
        <item x="34"/>
        <item x="14"/>
        <item x="30"/>
        <item x="24"/>
        <item x="28"/>
        <item x="16"/>
        <item x="36"/>
        <item x="11"/>
        <item x="21"/>
        <item x="38"/>
        <item x="20"/>
        <item x="18"/>
        <item x="12"/>
        <item x="13"/>
        <item x="29"/>
        <item x="37"/>
        <item x="39"/>
        <item x="26"/>
        <item x="23"/>
        <item x="4"/>
        <item x="15"/>
        <item x="33"/>
        <item x="6"/>
        <item x="17"/>
        <item x="27"/>
        <item x="7"/>
        <item x="10"/>
        <item x="19"/>
        <item x="8"/>
        <item x="3"/>
        <item x="9"/>
        <item x="0"/>
        <item x="35"/>
        <item x="25"/>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Xalis Mənfəə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448894-C7D2-EA42-A42B-3BEBD622C2B9}"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9">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6">
        <item x="1"/>
        <item x="2"/>
        <item x="3"/>
        <item x="4"/>
        <item x="0"/>
        <item t="default"/>
      </items>
    </pivotField>
    <pivotField axis="axisCol" showAll="0">
      <items count="5">
        <item x="1"/>
        <item x="0"/>
        <item x="2"/>
        <item x="3"/>
        <item t="default"/>
      </items>
    </pivotField>
    <pivotField showAll="0"/>
    <pivotField showAll="0"/>
    <pivotField numFmtId="165"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Fields count="1">
    <field x="5"/>
  </colFields>
  <colItems count="5">
    <i>
      <x/>
    </i>
    <i>
      <x v="1"/>
    </i>
    <i>
      <x v="2"/>
    </i>
    <i>
      <x v="3"/>
    </i>
    <i t="grand">
      <x/>
    </i>
  </colItems>
  <dataFields count="1">
    <dataField name="Sum of Yekun Satış Məbləği"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lial" xr10:uid="{2CD05D2D-2613-BA47-A015-3BEF8B84395A}" sourceName="Filial">
  <pivotTables>
    <pivotTable tabId="3" name="PivotTable3"/>
    <pivotTable tabId="3" name="PivotTable1"/>
    <pivotTable tabId="3" name="PivotTable4"/>
    <pivotTable tabId="3" name="PivotTable5"/>
  </pivotTables>
  <data>
    <tabular pivotCacheId="588708488">
      <items count="5">
        <i x="1" s="1"/>
        <i x="2"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ial" xr10:uid="{26B52135-E668-B04B-860C-E853DE50F38F}" cache="Slicer_Filial" caption="Filial"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rix" xr10:uid="{8706057C-1198-5145-BF18-2FCE16111E9A}" sourceName="Tarix">
  <pivotTables>
    <pivotTable tabId="3" name="PivotTable4"/>
    <pivotTable tabId="3" name="PivotTable5"/>
  </pivotTables>
  <state minimalRefreshVersion="6" lastRefreshVersion="6" pivotCacheId="588708488" filterType="dateBetween">
    <selection startDate="2026-01-01T00:00:00" endDate="2026-12-31T00:00:00"/>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rix" xr10:uid="{B3C8084F-3D48-0044-B3FF-580F40A16A42}" cache="NativeTimeline_Tarix" caption="Tarix" level="2" selectionLevel="0" scrollPosition="2026-01-01T00:00:00"/>
</timeline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7A74D-D2D7-4489-A1F5-50FEB98BBDB3}">
  <sheetPr codeName="Sheet1"/>
  <dimension ref="A1:V1002"/>
  <sheetViews>
    <sheetView workbookViewId="0">
      <selection activeCell="I2" sqref="I2"/>
    </sheetView>
  </sheetViews>
  <sheetFormatPr baseColWidth="10" defaultColWidth="8.83203125" defaultRowHeight="15"/>
  <cols>
    <col min="1" max="1" width="9.83203125" customWidth="1"/>
    <col min="2" max="2" width="9.83203125" style="9" bestFit="1" customWidth="1"/>
    <col min="3" max="3" width="18.83203125" customWidth="1"/>
    <col min="4" max="4" width="20" bestFit="1" customWidth="1"/>
    <col min="5" max="5" width="9.83203125" bestFit="1" customWidth="1"/>
    <col min="6" max="6" width="14.1640625" customWidth="1"/>
    <col min="7" max="7" width="15.6640625" customWidth="1"/>
    <col min="8" max="8" width="11.1640625" bestFit="1" customWidth="1"/>
    <col min="9" max="9" width="14.6640625" style="14" customWidth="1"/>
    <col min="10" max="10" width="12" style="5" bestFit="1" customWidth="1"/>
    <col min="11" max="11" width="38.83203125" bestFit="1" customWidth="1"/>
    <col min="12" max="12" width="11.33203125" bestFit="1" customWidth="1"/>
    <col min="13" max="13" width="11.83203125" bestFit="1" customWidth="1"/>
    <col min="14" max="14" width="17.33203125" bestFit="1" customWidth="1"/>
    <col min="15" max="15" width="12.33203125" bestFit="1" customWidth="1"/>
    <col min="16" max="17" width="14.6640625" bestFit="1" customWidth="1"/>
    <col min="18" max="18" width="12.83203125" style="16" bestFit="1" customWidth="1"/>
    <col min="20" max="20" width="29.83203125" bestFit="1" customWidth="1"/>
  </cols>
  <sheetData>
    <row r="1" spans="1:22" s="3" customFormat="1">
      <c r="A1" s="4" t="s">
        <v>959</v>
      </c>
      <c r="B1" s="7" t="s">
        <v>0</v>
      </c>
      <c r="C1" s="4" t="s">
        <v>973</v>
      </c>
      <c r="D1" s="4" t="s">
        <v>960</v>
      </c>
      <c r="E1" s="4" t="s">
        <v>1</v>
      </c>
      <c r="F1" s="4" t="s">
        <v>961</v>
      </c>
      <c r="G1" s="4" t="s">
        <v>962</v>
      </c>
      <c r="H1" s="4" t="s">
        <v>2</v>
      </c>
      <c r="I1" s="12" t="s">
        <v>972</v>
      </c>
      <c r="J1" s="4" t="s">
        <v>984</v>
      </c>
      <c r="K1" s="11" t="s">
        <v>1935</v>
      </c>
      <c r="L1" s="3" t="s">
        <v>1936</v>
      </c>
      <c r="M1" s="3" t="s">
        <v>1937</v>
      </c>
      <c r="N1" s="3" t="s">
        <v>1938</v>
      </c>
      <c r="O1" s="3" t="s">
        <v>1939</v>
      </c>
      <c r="P1" s="3" t="s">
        <v>1940</v>
      </c>
      <c r="Q1" s="3" t="s">
        <v>1941</v>
      </c>
      <c r="R1" s="15" t="s">
        <v>1942</v>
      </c>
    </row>
    <row r="2" spans="1:22">
      <c r="A2" s="5" t="s">
        <v>3</v>
      </c>
      <c r="B2" s="8">
        <v>46134</v>
      </c>
      <c r="C2" s="5" t="s">
        <v>974</v>
      </c>
      <c r="D2" s="5" t="s">
        <v>971</v>
      </c>
      <c r="E2" s="5" t="s">
        <v>980</v>
      </c>
      <c r="F2" s="5" t="s">
        <v>4</v>
      </c>
      <c r="G2" s="5">
        <v>8</v>
      </c>
      <c r="H2" s="5" t="s">
        <v>963</v>
      </c>
      <c r="I2" s="13">
        <v>517078704</v>
      </c>
      <c r="J2" s="10" t="s">
        <v>985</v>
      </c>
      <c r="K2" t="str">
        <f>LEFT(C2,FIND(" ",C2)-1)&amp;"-"&amp;E2&amp;" "&amp;"Filialina çardırılma"</f>
        <v>Ramil-Sumqayit Filialina çardırılma</v>
      </c>
      <c r="L2">
        <f>VLOOKUP(D2,Anbar!$A$2:$B$5,2,FALSE)</f>
        <v>1200</v>
      </c>
      <c r="M2">
        <f>VLOOKUP(D2,Anbar!$A$2:$C$5,3,FALSE)</f>
        <v>1800</v>
      </c>
      <c r="N2">
        <f>G2*M2</f>
        <v>14400</v>
      </c>
      <c r="O2">
        <f>(M2-L2)*G2</f>
        <v>4800</v>
      </c>
      <c r="P2" t="str">
        <f>IF(AND(F2="Nağd",G2&gt;5),M2*0.9,"0%")</f>
        <v>0%</v>
      </c>
      <c r="Q2" s="9">
        <f>IF(F2="Kredit",EOMONTH(B2,0),"")</f>
        <v>46142</v>
      </c>
      <c r="R2" s="17" t="str">
        <f>TEXT(B2,"dddd")</f>
        <v>Wednesday</v>
      </c>
    </row>
    <row r="3" spans="1:22">
      <c r="A3" s="5" t="s">
        <v>5</v>
      </c>
      <c r="B3" s="8">
        <v>46173</v>
      </c>
      <c r="C3" s="5" t="s">
        <v>6</v>
      </c>
      <c r="D3" s="5" t="s">
        <v>20</v>
      </c>
      <c r="E3" s="5" t="s">
        <v>966</v>
      </c>
      <c r="F3" s="5" t="s">
        <v>7</v>
      </c>
      <c r="G3" s="5">
        <v>5</v>
      </c>
      <c r="H3" s="5" t="s">
        <v>963</v>
      </c>
      <c r="I3" s="13">
        <v>773570542</v>
      </c>
      <c r="J3" s="10" t="s">
        <v>986</v>
      </c>
      <c r="K3" t="str">
        <f>LEFT(C3,FIND(" ",C3)-1)&amp;"-"&amp;E3&amp;" "&amp;"Filialina çardırılma"</f>
        <v>Zaur-Bakı Filialina çardırılma</v>
      </c>
      <c r="L3">
        <f>VLOOKUP(D3,Anbar!$A$2:$B$5,2,FALSE)</f>
        <v>15</v>
      </c>
      <c r="M3">
        <f>VLOOKUP(D3,Anbar!$A$2:$C$5,3,FALSE)</f>
        <v>45</v>
      </c>
      <c r="N3">
        <f t="shared" ref="N3:N66" si="0">G3*M3</f>
        <v>225</v>
      </c>
      <c r="O3">
        <f t="shared" ref="O3:O66" si="1">(M3-L3)*G3</f>
        <v>150</v>
      </c>
      <c r="P3" t="str">
        <f>IF(AND(F3="Nağd",G3&gt;5),M3*0.9,"0%")</f>
        <v>0%</v>
      </c>
      <c r="Q3" s="9" t="str">
        <f>IF(F3="Kredit",EOMONTH(B3,0),"")</f>
        <v/>
      </c>
      <c r="R3" s="17" t="str">
        <f>TEXT(B3,"dddd")</f>
        <v>Sunday</v>
      </c>
    </row>
    <row r="4" spans="1:22">
      <c r="A4" s="5" t="s">
        <v>8</v>
      </c>
      <c r="B4" s="8">
        <v>46049</v>
      </c>
      <c r="C4" s="5" t="s">
        <v>975</v>
      </c>
      <c r="D4" s="5" t="s">
        <v>20</v>
      </c>
      <c r="E4" s="5" t="s">
        <v>9</v>
      </c>
      <c r="F4" s="5" t="s">
        <v>965</v>
      </c>
      <c r="G4" s="5">
        <v>1</v>
      </c>
      <c r="H4" s="5" t="s">
        <v>963</v>
      </c>
      <c r="I4" s="13">
        <v>559926925</v>
      </c>
      <c r="J4" s="10" t="s">
        <v>987</v>
      </c>
      <c r="K4" t="str">
        <f>LEFT(C4,FIND(" ",C4)-1)&amp;"-"&amp;E4&amp;" "&amp;"Filialina çardırılma"</f>
        <v>Murad-Gence Filialina çardırılma</v>
      </c>
      <c r="L4">
        <f>VLOOKUP(D4,Anbar!$A$2:$B$5,2,FALSE)</f>
        <v>15</v>
      </c>
      <c r="M4">
        <f>VLOOKUP(D4,Anbar!$A$2:$C$5,3,FALSE)</f>
        <v>45</v>
      </c>
      <c r="N4">
        <f t="shared" si="0"/>
        <v>45</v>
      </c>
      <c r="O4">
        <f t="shared" si="1"/>
        <v>30</v>
      </c>
      <c r="P4" t="str">
        <f>IF(AND(F4="Nağd",G4&gt;5),M4*0.9,"0%")</f>
        <v>0%</v>
      </c>
      <c r="Q4" s="9" t="str">
        <f>IF(F4="Kredit",EOMONTH(B4,0),"")</f>
        <v/>
      </c>
      <c r="R4" s="17" t="str">
        <f>TEXT(B4,"dddd")</f>
        <v>Tuesday</v>
      </c>
    </row>
    <row r="5" spans="1:22">
      <c r="A5" s="5" t="s">
        <v>10</v>
      </c>
      <c r="B5" s="8">
        <v>46171</v>
      </c>
      <c r="C5" s="5" t="s">
        <v>976</v>
      </c>
      <c r="D5" s="5" t="s">
        <v>971</v>
      </c>
      <c r="E5" s="5" t="s">
        <v>9</v>
      </c>
      <c r="F5" s="5" t="s">
        <v>4</v>
      </c>
      <c r="G5" s="5">
        <v>6</v>
      </c>
      <c r="H5" s="5" t="s">
        <v>963</v>
      </c>
      <c r="I5" s="13">
        <v>507202339</v>
      </c>
      <c r="J5" s="10" t="s">
        <v>988</v>
      </c>
      <c r="K5" t="str">
        <f>LEFT(C5,FIND(" ",C5)-1)&amp;"-"&amp;E5&amp;" "&amp;"Filialina çardırılma"</f>
        <v>Nərgin-Gence Filialina çardırılma</v>
      </c>
      <c r="L5">
        <f>VLOOKUP(D5,Anbar!$A$2:$B$5,2,FALSE)</f>
        <v>1200</v>
      </c>
      <c r="M5">
        <f>VLOOKUP(D5,Anbar!$A$2:$C$5,3,FALSE)</f>
        <v>1800</v>
      </c>
      <c r="N5">
        <f t="shared" si="0"/>
        <v>10800</v>
      </c>
      <c r="O5">
        <f t="shared" si="1"/>
        <v>3600</v>
      </c>
      <c r="P5" t="str">
        <f>IF(AND(F5="Nağd",G5&gt;5),M5*0.9,"0%")</f>
        <v>0%</v>
      </c>
      <c r="Q5" s="9">
        <f>IF(F5="Kredit",EOMONTH(B5,0),"")</f>
        <v>46173</v>
      </c>
      <c r="R5" s="17" t="str">
        <f>TEXT(B5,"dddd")</f>
        <v>Friday</v>
      </c>
    </row>
    <row r="6" spans="1:22">
      <c r="A6" s="5" t="s">
        <v>11</v>
      </c>
      <c r="B6" s="8">
        <v>46140</v>
      </c>
      <c r="C6" s="5" t="s">
        <v>6</v>
      </c>
      <c r="D6" s="5" t="s">
        <v>971</v>
      </c>
      <c r="E6" s="5" t="s">
        <v>981</v>
      </c>
      <c r="F6" s="5" t="s">
        <v>4</v>
      </c>
      <c r="G6" s="5">
        <v>3</v>
      </c>
      <c r="H6" s="5" t="s">
        <v>963</v>
      </c>
      <c r="I6" s="13">
        <v>554736215</v>
      </c>
      <c r="J6" s="10" t="s">
        <v>989</v>
      </c>
      <c r="K6" t="str">
        <f>LEFT(C6,FIND(" ",C6)-1)&amp;"-"&amp;E6&amp;" "&amp;"Filialina çardırılma"</f>
        <v>Zaur-Gəncə Filialina çardırılma</v>
      </c>
      <c r="L6">
        <f>VLOOKUP(D6,Anbar!$A$2:$B$5,2,FALSE)</f>
        <v>1200</v>
      </c>
      <c r="M6">
        <f>VLOOKUP(D6,Anbar!$A$2:$C$5,3,FALSE)</f>
        <v>1800</v>
      </c>
      <c r="N6">
        <f t="shared" si="0"/>
        <v>5400</v>
      </c>
      <c r="O6">
        <f t="shared" si="1"/>
        <v>1800</v>
      </c>
      <c r="P6" t="str">
        <f>IF(AND(F6="Nağd",G6&gt;5),M6*0.9,"0%")</f>
        <v>0%</v>
      </c>
      <c r="Q6" s="9">
        <f>IF(F6="Kredit",EOMONTH(B6,0),"")</f>
        <v>46142</v>
      </c>
      <c r="R6" s="17" t="str">
        <f>TEXT(B6,"dddd")</f>
        <v>Tuesday</v>
      </c>
    </row>
    <row r="7" spans="1:22">
      <c r="A7" s="5" t="s">
        <v>12</v>
      </c>
      <c r="B7" s="8">
        <v>46043</v>
      </c>
      <c r="C7" s="5" t="s">
        <v>975</v>
      </c>
      <c r="D7" s="5" t="s">
        <v>20</v>
      </c>
      <c r="E7" s="5" t="s">
        <v>980</v>
      </c>
      <c r="F7" s="5" t="s">
        <v>4</v>
      </c>
      <c r="G7" s="5">
        <v>3</v>
      </c>
      <c r="H7" s="5" t="s">
        <v>963</v>
      </c>
      <c r="I7" s="13">
        <v>519664056</v>
      </c>
      <c r="J7" s="10" t="s">
        <v>990</v>
      </c>
      <c r="K7" t="str">
        <f>LEFT(C7,FIND(" ",C7)-1)&amp;"-"&amp;E7&amp;" "&amp;"Filialina çardırılma"</f>
        <v>Murad-Sumqayit Filialina çardırılma</v>
      </c>
      <c r="L7">
        <f>VLOOKUP(D7,Anbar!$A$2:$B$5,2,FALSE)</f>
        <v>15</v>
      </c>
      <c r="M7">
        <f>VLOOKUP(D7,Anbar!$A$2:$C$5,3,FALSE)</f>
        <v>45</v>
      </c>
      <c r="N7">
        <f t="shared" si="0"/>
        <v>135</v>
      </c>
      <c r="O7">
        <f t="shared" si="1"/>
        <v>90</v>
      </c>
      <c r="P7" t="str">
        <f>IF(AND(F7="Nağd",G7&gt;5),M7*0.9,"0%")</f>
        <v>0%</v>
      </c>
      <c r="Q7" s="9">
        <f>IF(F7="Kredit",EOMONTH(B7,0),"")</f>
        <v>46053</v>
      </c>
      <c r="R7" s="17" t="str">
        <f>TEXT(B7,"dddd")</f>
        <v>Wednesday</v>
      </c>
    </row>
    <row r="8" spans="1:22">
      <c r="A8" s="5" t="s">
        <v>13</v>
      </c>
      <c r="B8" s="8">
        <v>46164</v>
      </c>
      <c r="C8" s="5" t="s">
        <v>977</v>
      </c>
      <c r="D8" s="5" t="s">
        <v>968</v>
      </c>
      <c r="E8" s="5" t="s">
        <v>980</v>
      </c>
      <c r="F8" s="5" t="s">
        <v>965</v>
      </c>
      <c r="G8" s="5">
        <v>10</v>
      </c>
      <c r="H8" s="5" t="s">
        <v>963</v>
      </c>
      <c r="I8" s="13">
        <v>705543420</v>
      </c>
      <c r="J8" s="10" t="s">
        <v>991</v>
      </c>
      <c r="K8" t="str">
        <f>LEFT(C8,FIND(" ",C8)-1)&amp;"-"&amp;E8&amp;" "&amp;"Filialina çardırılma"</f>
        <v>Elnur-Sumqayit Filialina çardırılma</v>
      </c>
      <c r="L8">
        <f>VLOOKUP(D8,Anbar!$A$2:$B$5,2,FALSE)</f>
        <v>400</v>
      </c>
      <c r="M8">
        <f>VLOOKUP(D8,Anbar!$A$2:$C$5,3,FALSE)</f>
        <v>650</v>
      </c>
      <c r="N8">
        <f t="shared" si="0"/>
        <v>6500</v>
      </c>
      <c r="O8">
        <f t="shared" si="1"/>
        <v>2500</v>
      </c>
      <c r="P8">
        <f>IF(AND(F8="Nağd",G8&gt;5),M8*0.9,"0%")</f>
        <v>585</v>
      </c>
      <c r="Q8" s="9" t="str">
        <f>IF(F8="Kredit",EOMONTH(B8,0),"")</f>
        <v/>
      </c>
      <c r="R8" s="17" t="str">
        <f>TEXT(B8,"dddd")</f>
        <v>Friday</v>
      </c>
    </row>
    <row r="9" spans="1:22" ht="19">
      <c r="A9" s="5" t="s">
        <v>14</v>
      </c>
      <c r="B9" s="8">
        <v>46164</v>
      </c>
      <c r="C9" s="5" t="s">
        <v>978</v>
      </c>
      <c r="D9" s="5" t="s">
        <v>15</v>
      </c>
      <c r="E9" s="5" t="s">
        <v>980</v>
      </c>
      <c r="F9" s="5" t="s">
        <v>4</v>
      </c>
      <c r="G9" s="5">
        <v>8</v>
      </c>
      <c r="H9" s="5" t="s">
        <v>963</v>
      </c>
      <c r="I9" s="13">
        <v>504265196</v>
      </c>
      <c r="J9" s="10" t="s">
        <v>992</v>
      </c>
      <c r="K9" t="str">
        <f>LEFT(C9,FIND(" ",C9)-1)&amp;"-"&amp;E9&amp;" "&amp;"Filialina çardırılma"</f>
        <v>Əli-Sumqayit Filialina çardırılma</v>
      </c>
      <c r="L9">
        <f>VLOOKUP(D9,Anbar!$A$2:$B$5,2,FALSE)</f>
        <v>600</v>
      </c>
      <c r="M9">
        <f>VLOOKUP(D9,Anbar!$A$2:$C$5,3,FALSE)</f>
        <v>950</v>
      </c>
      <c r="N9">
        <f t="shared" si="0"/>
        <v>7600</v>
      </c>
      <c r="O9">
        <f t="shared" si="1"/>
        <v>2800</v>
      </c>
      <c r="P9" t="str">
        <f>IF(AND(F9="Nağd",G9&gt;5),M9*0.9,"0%")</f>
        <v>0%</v>
      </c>
      <c r="Q9" s="9">
        <f>IF(F9="Kredit",EOMONTH(B9,0),"")</f>
        <v>46173</v>
      </c>
      <c r="R9" s="17" t="str">
        <f>TEXT(B9,"dddd")</f>
        <v>Friday</v>
      </c>
      <c r="T9" s="18" t="s">
        <v>1943</v>
      </c>
      <c r="V9">
        <f>SUMIFS(N2:N951,D2:D951,"Kompüter",E2:E951,"Bakı")</f>
        <v>379800</v>
      </c>
    </row>
    <row r="10" spans="1:22">
      <c r="A10" s="5" t="s">
        <v>16</v>
      </c>
      <c r="B10" s="8">
        <v>46134</v>
      </c>
      <c r="C10" s="5" t="s">
        <v>967</v>
      </c>
      <c r="D10" s="5" t="s">
        <v>15</v>
      </c>
      <c r="E10" s="5" t="s">
        <v>982</v>
      </c>
      <c r="F10" s="5" t="s">
        <v>965</v>
      </c>
      <c r="G10" s="5">
        <v>10</v>
      </c>
      <c r="H10" s="5" t="s">
        <v>963</v>
      </c>
      <c r="I10" s="13">
        <v>558020131</v>
      </c>
      <c r="J10" s="10" t="s">
        <v>993</v>
      </c>
      <c r="K10" t="str">
        <f>LEFT(C10,FIND(" ",C10)-1)&amp;"-"&amp;E10&amp;" "&amp;"Filialina çardırılma"</f>
        <v>Aysel-Baki Filialina çardırılma</v>
      </c>
      <c r="L10">
        <f>VLOOKUP(D10,Anbar!$A$2:$B$5,2,FALSE)</f>
        <v>600</v>
      </c>
      <c r="M10">
        <f>VLOOKUP(D10,Anbar!$A$2:$C$5,3,FALSE)</f>
        <v>950</v>
      </c>
      <c r="N10">
        <f t="shared" si="0"/>
        <v>9500</v>
      </c>
      <c r="O10">
        <f t="shared" si="1"/>
        <v>3500</v>
      </c>
      <c r="P10">
        <f>IF(AND(F10="Nağd",G10&gt;5),M10*0.9,"0%")</f>
        <v>855</v>
      </c>
      <c r="Q10" s="9" t="str">
        <f>IF(F10="Kredit",EOMONTH(B10,0),"")</f>
        <v/>
      </c>
      <c r="R10" s="17" t="str">
        <f>TEXT(B10,"dddd")</f>
        <v>Wednesday</v>
      </c>
      <c r="T10" s="19" t="s">
        <v>1944</v>
      </c>
      <c r="V10">
        <f>SUMIFS(G2:G951,F2:F951,"Nağd",D2:D951,"Telefon")</f>
        <v>581</v>
      </c>
    </row>
    <row r="11" spans="1:22">
      <c r="A11" s="5" t="s">
        <v>17</v>
      </c>
      <c r="B11" s="8">
        <v>46155</v>
      </c>
      <c r="C11" s="5" t="s">
        <v>979</v>
      </c>
      <c r="D11" s="5" t="s">
        <v>971</v>
      </c>
      <c r="E11" s="5" t="s">
        <v>9</v>
      </c>
      <c r="F11" s="5" t="s">
        <v>965</v>
      </c>
      <c r="G11" s="5">
        <v>7</v>
      </c>
      <c r="H11" s="5" t="s">
        <v>963</v>
      </c>
      <c r="I11" s="13">
        <v>506431795</v>
      </c>
      <c r="J11" s="10" t="s">
        <v>994</v>
      </c>
      <c r="K11" t="str">
        <f>LEFT(C11,FIND(" ",C11)-1)&amp;"-"&amp;E11&amp;" "&amp;"Filialina çardırılma"</f>
        <v>Leyla-Gence Filialina çardırılma</v>
      </c>
      <c r="L11">
        <f>VLOOKUP(D11,Anbar!$A$2:$B$5,2,FALSE)</f>
        <v>1200</v>
      </c>
      <c r="M11">
        <f>VLOOKUP(D11,Anbar!$A$2:$C$5,3,FALSE)</f>
        <v>1800</v>
      </c>
      <c r="N11">
        <f t="shared" si="0"/>
        <v>12600</v>
      </c>
      <c r="O11">
        <f t="shared" si="1"/>
        <v>4200</v>
      </c>
      <c r="P11">
        <f>IF(AND(F11="Nağd",G11&gt;5),M11*0.9,"0%")</f>
        <v>1620</v>
      </c>
      <c r="Q11" s="9" t="str">
        <f>IF(F11="Kredit",EOMONTH(B11,0),"")</f>
        <v/>
      </c>
      <c r="R11" s="17" t="str">
        <f>TEXT(B11,"dddd")</f>
        <v>Wednesday</v>
      </c>
      <c r="T11" s="19" t="s">
        <v>1945</v>
      </c>
      <c r="V11">
        <f>AVERAGEIFS(G2:G951,F2:F951,"Kredit")</f>
        <v>5.4426666666666668</v>
      </c>
    </row>
    <row r="12" spans="1:22">
      <c r="A12" s="5" t="s">
        <v>18</v>
      </c>
      <c r="B12" s="8">
        <v>46085</v>
      </c>
      <c r="C12" s="5" t="s">
        <v>974</v>
      </c>
      <c r="D12" s="5" t="s">
        <v>971</v>
      </c>
      <c r="E12" s="5" t="s">
        <v>981</v>
      </c>
      <c r="F12" s="5" t="s">
        <v>4</v>
      </c>
      <c r="G12" s="5">
        <v>3</v>
      </c>
      <c r="H12" s="5" t="s">
        <v>963</v>
      </c>
      <c r="I12" s="13">
        <v>510519042</v>
      </c>
      <c r="J12" s="10" t="s">
        <v>995</v>
      </c>
      <c r="K12" t="str">
        <f>LEFT(C12,FIND(" ",C12)-1)&amp;"-"&amp;E12&amp;" "&amp;"Filialina çardırılma"</f>
        <v>Ramil-Gəncə Filialina çardırılma</v>
      </c>
      <c r="L12">
        <f>VLOOKUP(D12,Anbar!$A$2:$B$5,2,FALSE)</f>
        <v>1200</v>
      </c>
      <c r="M12">
        <f>VLOOKUP(D12,Anbar!$A$2:$C$5,3,FALSE)</f>
        <v>1800</v>
      </c>
      <c r="N12">
        <f t="shared" si="0"/>
        <v>5400</v>
      </c>
      <c r="O12">
        <f t="shared" si="1"/>
        <v>1800</v>
      </c>
      <c r="P12" t="str">
        <f>IF(AND(F12="Nağd",G12&gt;5),M12*0.9,"0%")</f>
        <v>0%</v>
      </c>
      <c r="Q12" s="9">
        <f>IF(F12="Kredit",EOMONTH(B12,0),"")</f>
        <v>46112</v>
      </c>
      <c r="R12" s="17" t="str">
        <f>TEXT(B12,"dddd")</f>
        <v>Wednesday</v>
      </c>
    </row>
    <row r="13" spans="1:22">
      <c r="A13" s="5" t="s">
        <v>19</v>
      </c>
      <c r="B13" s="8">
        <v>46044</v>
      </c>
      <c r="C13" s="5" t="s">
        <v>967</v>
      </c>
      <c r="D13" s="5" t="s">
        <v>20</v>
      </c>
      <c r="E13" s="5" t="s">
        <v>982</v>
      </c>
      <c r="F13" s="5" t="s">
        <v>965</v>
      </c>
      <c r="G13" s="5">
        <v>3</v>
      </c>
      <c r="H13" s="5" t="s">
        <v>963</v>
      </c>
      <c r="I13" s="13">
        <v>503722423</v>
      </c>
      <c r="J13" s="10" t="s">
        <v>996</v>
      </c>
      <c r="K13" t="str">
        <f>LEFT(C13,FIND(" ",C13)-1)&amp;"-"&amp;E13&amp;" "&amp;"Filialina çardırılma"</f>
        <v>Aysel-Baki Filialina çardırılma</v>
      </c>
      <c r="L13">
        <f>VLOOKUP(D13,Anbar!$A$2:$B$5,2,FALSE)</f>
        <v>15</v>
      </c>
      <c r="M13">
        <f>VLOOKUP(D13,Anbar!$A$2:$C$5,3,FALSE)</f>
        <v>45</v>
      </c>
      <c r="N13">
        <f t="shared" si="0"/>
        <v>135</v>
      </c>
      <c r="O13">
        <f t="shared" si="1"/>
        <v>90</v>
      </c>
      <c r="P13" t="str">
        <f>IF(AND(F13="Nağd",G13&gt;5),M13*0.9,"0%")</f>
        <v>0%</v>
      </c>
      <c r="Q13" s="9" t="str">
        <f>IF(F13="Kredit",EOMONTH(B13,0),"")</f>
        <v/>
      </c>
      <c r="R13" s="17" t="str">
        <f>TEXT(B13,"dddd")</f>
        <v>Thursday</v>
      </c>
    </row>
    <row r="14" spans="1:22">
      <c r="A14" s="5" t="s">
        <v>21</v>
      </c>
      <c r="B14" s="8">
        <v>46085</v>
      </c>
      <c r="C14" s="5" t="s">
        <v>975</v>
      </c>
      <c r="D14" s="5" t="s">
        <v>971</v>
      </c>
      <c r="E14" s="5" t="s">
        <v>980</v>
      </c>
      <c r="F14" s="5" t="s">
        <v>965</v>
      </c>
      <c r="G14" s="5">
        <v>7</v>
      </c>
      <c r="H14" s="5" t="s">
        <v>963</v>
      </c>
      <c r="I14" s="13">
        <v>773506491</v>
      </c>
      <c r="J14" s="10" t="s">
        <v>997</v>
      </c>
      <c r="K14" t="str">
        <f>LEFT(C14,FIND(" ",C14)-1)&amp;"-"&amp;E14&amp;" "&amp;"Filialina çardırılma"</f>
        <v>Murad-Sumqayit Filialina çardırılma</v>
      </c>
      <c r="L14">
        <f>VLOOKUP(D14,Anbar!$A$2:$B$5,2,FALSE)</f>
        <v>1200</v>
      </c>
      <c r="M14">
        <f>VLOOKUP(D14,Anbar!$A$2:$C$5,3,FALSE)</f>
        <v>1800</v>
      </c>
      <c r="N14">
        <f t="shared" si="0"/>
        <v>12600</v>
      </c>
      <c r="O14">
        <f t="shared" si="1"/>
        <v>4200</v>
      </c>
      <c r="P14">
        <f>IF(AND(F14="Nağd",G14&gt;5),M14*0.9,"0%")</f>
        <v>1620</v>
      </c>
      <c r="Q14" s="9" t="str">
        <f>IF(F14="Kredit",EOMONTH(B14,0),"")</f>
        <v/>
      </c>
      <c r="R14" s="17" t="str">
        <f>TEXT(B14,"dddd")</f>
        <v>Wednesday</v>
      </c>
    </row>
    <row r="15" spans="1:22">
      <c r="A15" s="5" t="s">
        <v>22</v>
      </c>
      <c r="B15" s="8">
        <v>46042</v>
      </c>
      <c r="C15" s="5" t="s">
        <v>6</v>
      </c>
      <c r="D15" s="5" t="s">
        <v>15</v>
      </c>
      <c r="E15" s="5" t="s">
        <v>981</v>
      </c>
      <c r="F15" s="5" t="s">
        <v>4</v>
      </c>
      <c r="G15" s="5">
        <v>9</v>
      </c>
      <c r="H15" s="5" t="s">
        <v>963</v>
      </c>
      <c r="I15" s="13">
        <v>771035954</v>
      </c>
      <c r="J15" s="10" t="s">
        <v>998</v>
      </c>
      <c r="K15" t="str">
        <f>LEFT(C15,FIND(" ",C15)-1)&amp;"-"&amp;E15&amp;" "&amp;"Filialina çardırılma"</f>
        <v>Zaur-Gəncə Filialina çardırılma</v>
      </c>
      <c r="L15">
        <f>VLOOKUP(D15,Anbar!$A$2:$B$5,2,FALSE)</f>
        <v>600</v>
      </c>
      <c r="M15">
        <f>VLOOKUP(D15,Anbar!$A$2:$C$5,3,FALSE)</f>
        <v>950</v>
      </c>
      <c r="N15">
        <f t="shared" si="0"/>
        <v>8550</v>
      </c>
      <c r="O15">
        <f t="shared" si="1"/>
        <v>3150</v>
      </c>
      <c r="P15" t="str">
        <f>IF(AND(F15="Nağd",G15&gt;5),M15*0.9,"0%")</f>
        <v>0%</v>
      </c>
      <c r="Q15" s="9">
        <f>IF(F15="Kredit",EOMONTH(B15,0),"")</f>
        <v>46053</v>
      </c>
      <c r="R15" s="17" t="str">
        <f>TEXT(B15,"dddd")</f>
        <v>Tuesday</v>
      </c>
    </row>
    <row r="16" spans="1:22">
      <c r="A16" s="5" t="s">
        <v>23</v>
      </c>
      <c r="B16" s="8">
        <v>46078</v>
      </c>
      <c r="C16" s="5" t="s">
        <v>967</v>
      </c>
      <c r="D16" s="5" t="s">
        <v>971</v>
      </c>
      <c r="E16" s="5" t="s">
        <v>966</v>
      </c>
      <c r="F16" s="5" t="s">
        <v>7</v>
      </c>
      <c r="G16" s="5">
        <v>6</v>
      </c>
      <c r="H16" s="5" t="s">
        <v>963</v>
      </c>
      <c r="I16" s="13">
        <v>554614585</v>
      </c>
      <c r="J16" s="10" t="s">
        <v>999</v>
      </c>
      <c r="K16" t="str">
        <f>LEFT(C16,FIND(" ",C16)-1)&amp;"-"&amp;E16&amp;" "&amp;"Filialina çardırılma"</f>
        <v>Aysel-Bakı Filialina çardırılma</v>
      </c>
      <c r="L16">
        <f>VLOOKUP(D16,Anbar!$A$2:$B$5,2,FALSE)</f>
        <v>1200</v>
      </c>
      <c r="M16">
        <f>VLOOKUP(D16,Anbar!$A$2:$C$5,3,FALSE)</f>
        <v>1800</v>
      </c>
      <c r="N16">
        <f t="shared" si="0"/>
        <v>10800</v>
      </c>
      <c r="O16">
        <f t="shared" si="1"/>
        <v>3600</v>
      </c>
      <c r="P16" t="str">
        <f>IF(AND(F16="Nağd",G16&gt;5),M16*0.9,"0%")</f>
        <v>0%</v>
      </c>
      <c r="Q16" s="9" t="str">
        <f>IF(F16="Kredit",EOMONTH(B16,0),"")</f>
        <v/>
      </c>
      <c r="R16" s="17" t="str">
        <f>TEXT(B16,"dddd")</f>
        <v>Wednesday</v>
      </c>
    </row>
    <row r="17" spans="1:18">
      <c r="A17" s="5" t="s">
        <v>24</v>
      </c>
      <c r="B17" s="8">
        <v>46139</v>
      </c>
      <c r="C17" s="5" t="s">
        <v>967</v>
      </c>
      <c r="D17" s="5" t="s">
        <v>971</v>
      </c>
      <c r="E17" s="5" t="s">
        <v>964</v>
      </c>
      <c r="F17" s="5" t="s">
        <v>965</v>
      </c>
      <c r="G17" s="5">
        <v>1</v>
      </c>
      <c r="H17" s="5" t="s">
        <v>963</v>
      </c>
      <c r="I17" s="13">
        <v>773321525</v>
      </c>
      <c r="J17" s="10" t="s">
        <v>1000</v>
      </c>
      <c r="K17" t="str">
        <f>LEFT(C17,FIND(" ",C17)-1)&amp;"-"&amp;E17&amp;" "&amp;"Filialina çardırılma"</f>
        <v>Aysel-Sumqayıt Filialina çardırılma</v>
      </c>
      <c r="L17">
        <f>VLOOKUP(D17,Anbar!$A$2:$B$5,2,FALSE)</f>
        <v>1200</v>
      </c>
      <c r="M17">
        <f>VLOOKUP(D17,Anbar!$A$2:$C$5,3,FALSE)</f>
        <v>1800</v>
      </c>
      <c r="N17">
        <f t="shared" si="0"/>
        <v>1800</v>
      </c>
      <c r="O17">
        <f t="shared" si="1"/>
        <v>600</v>
      </c>
      <c r="P17" t="str">
        <f>IF(AND(F17="Nağd",G17&gt;5),M17*0.9,"0%")</f>
        <v>0%</v>
      </c>
      <c r="Q17" s="9" t="str">
        <f>IF(F17="Kredit",EOMONTH(B17,0),"")</f>
        <v/>
      </c>
      <c r="R17" s="17" t="str">
        <f>TEXT(B17,"dddd")</f>
        <v>Monday</v>
      </c>
    </row>
    <row r="18" spans="1:18">
      <c r="A18" s="5" t="s">
        <v>25</v>
      </c>
      <c r="B18" s="8">
        <v>46125</v>
      </c>
      <c r="C18" s="5" t="s">
        <v>967</v>
      </c>
      <c r="D18" s="5" t="s">
        <v>968</v>
      </c>
      <c r="E18" s="5" t="s">
        <v>982</v>
      </c>
      <c r="F18" s="5" t="s">
        <v>965</v>
      </c>
      <c r="G18" s="5">
        <v>5</v>
      </c>
      <c r="H18" s="5" t="s">
        <v>963</v>
      </c>
      <c r="I18" s="13">
        <v>707182900</v>
      </c>
      <c r="J18" s="10" t="s">
        <v>1001</v>
      </c>
      <c r="K18" t="str">
        <f>LEFT(C18,FIND(" ",C18)-1)&amp;"-"&amp;E18&amp;" "&amp;"Filialina çardırılma"</f>
        <v>Aysel-Baki Filialina çardırılma</v>
      </c>
      <c r="L18">
        <f>VLOOKUP(D18,Anbar!$A$2:$B$5,2,FALSE)</f>
        <v>400</v>
      </c>
      <c r="M18">
        <f>VLOOKUP(D18,Anbar!$A$2:$C$5,3,FALSE)</f>
        <v>650</v>
      </c>
      <c r="N18">
        <f t="shared" si="0"/>
        <v>3250</v>
      </c>
      <c r="O18">
        <f t="shared" si="1"/>
        <v>1250</v>
      </c>
      <c r="P18" t="str">
        <f>IF(AND(F18="Nağd",G18&gt;5),M18*0.9,"0%")</f>
        <v>0%</v>
      </c>
      <c r="Q18" s="9" t="str">
        <f>IF(F18="Kredit",EOMONTH(B18,0),"")</f>
        <v/>
      </c>
      <c r="R18" s="17" t="str">
        <f>TEXT(B18,"dddd")</f>
        <v>Monday</v>
      </c>
    </row>
    <row r="19" spans="1:18">
      <c r="A19" s="5" t="s">
        <v>26</v>
      </c>
      <c r="B19" s="8">
        <v>46098</v>
      </c>
      <c r="C19" s="5" t="s">
        <v>6</v>
      </c>
      <c r="D19" s="5" t="s">
        <v>971</v>
      </c>
      <c r="E19" s="5" t="s">
        <v>966</v>
      </c>
      <c r="F19" s="5" t="s">
        <v>965</v>
      </c>
      <c r="G19" s="5">
        <v>2</v>
      </c>
      <c r="H19" s="5" t="s">
        <v>963</v>
      </c>
      <c r="I19" s="13">
        <v>507552477</v>
      </c>
      <c r="J19" s="10" t="s">
        <v>1002</v>
      </c>
      <c r="K19" t="str">
        <f>LEFT(C19,FIND(" ",C19)-1)&amp;"-"&amp;E19&amp;" "&amp;"Filialina çardırılma"</f>
        <v>Zaur-Bakı Filialina çardırılma</v>
      </c>
      <c r="L19">
        <f>VLOOKUP(D19,Anbar!$A$2:$B$5,2,FALSE)</f>
        <v>1200</v>
      </c>
      <c r="M19">
        <f>VLOOKUP(D19,Anbar!$A$2:$C$5,3,FALSE)</f>
        <v>1800</v>
      </c>
      <c r="N19">
        <f t="shared" si="0"/>
        <v>3600</v>
      </c>
      <c r="O19">
        <f t="shared" si="1"/>
        <v>1200</v>
      </c>
      <c r="P19" t="str">
        <f>IF(AND(F19="Nağd",G19&gt;5),M19*0.9,"0%")</f>
        <v>0%</v>
      </c>
      <c r="Q19" s="9" t="str">
        <f>IF(F19="Kredit",EOMONTH(B19,0),"")</f>
        <v/>
      </c>
      <c r="R19" s="17" t="str">
        <f>TEXT(B19,"dddd")</f>
        <v>Tuesday</v>
      </c>
    </row>
    <row r="20" spans="1:18">
      <c r="A20" s="5" t="s">
        <v>27</v>
      </c>
      <c r="B20" s="8">
        <v>46163</v>
      </c>
      <c r="C20" s="5" t="s">
        <v>967</v>
      </c>
      <c r="D20" s="5" t="s">
        <v>20</v>
      </c>
      <c r="E20" s="5" t="s">
        <v>9</v>
      </c>
      <c r="F20" s="5" t="s">
        <v>4</v>
      </c>
      <c r="G20" s="5">
        <v>8</v>
      </c>
      <c r="H20" s="5" t="s">
        <v>963</v>
      </c>
      <c r="I20" s="13">
        <v>504429864</v>
      </c>
      <c r="J20" s="10" t="s">
        <v>1003</v>
      </c>
      <c r="K20" t="str">
        <f>LEFT(C20,FIND(" ",C20)-1)&amp;"-"&amp;E20&amp;" "&amp;"Filialina çardırılma"</f>
        <v>Aysel-Gence Filialina çardırılma</v>
      </c>
      <c r="L20">
        <f>VLOOKUP(D20,Anbar!$A$2:$B$5,2,FALSE)</f>
        <v>15</v>
      </c>
      <c r="M20">
        <f>VLOOKUP(D20,Anbar!$A$2:$C$5,3,FALSE)</f>
        <v>45</v>
      </c>
      <c r="N20">
        <f t="shared" si="0"/>
        <v>360</v>
      </c>
      <c r="O20">
        <f t="shared" si="1"/>
        <v>240</v>
      </c>
      <c r="P20" t="str">
        <f>IF(AND(F20="Nağd",G20&gt;5),M20*0.9,"0%")</f>
        <v>0%</v>
      </c>
      <c r="Q20" s="9">
        <f>IF(F20="Kredit",EOMONTH(B20,0),"")</f>
        <v>46173</v>
      </c>
      <c r="R20" s="17" t="str">
        <f>TEXT(B20,"dddd")</f>
        <v>Thursday</v>
      </c>
    </row>
    <row r="21" spans="1:18">
      <c r="A21" s="5" t="s">
        <v>28</v>
      </c>
      <c r="B21" s="8">
        <v>46177</v>
      </c>
      <c r="C21" s="5" t="s">
        <v>976</v>
      </c>
      <c r="D21" s="5" t="s">
        <v>20</v>
      </c>
      <c r="E21" s="5" t="s">
        <v>981</v>
      </c>
      <c r="F21" s="5" t="s">
        <v>4</v>
      </c>
      <c r="G21" s="5">
        <v>3</v>
      </c>
      <c r="H21" s="5" t="s">
        <v>963</v>
      </c>
      <c r="I21" s="13">
        <v>703110495</v>
      </c>
      <c r="J21" s="10" t="s">
        <v>1004</v>
      </c>
      <c r="K21" t="str">
        <f>LEFT(C21,FIND(" ",C21)-1)&amp;"-"&amp;E21&amp;" "&amp;"Filialina çardırılma"</f>
        <v>Nərgin-Gəncə Filialina çardırılma</v>
      </c>
      <c r="L21">
        <f>VLOOKUP(D21,Anbar!$A$2:$B$5,2,FALSE)</f>
        <v>15</v>
      </c>
      <c r="M21">
        <f>VLOOKUP(D21,Anbar!$A$2:$C$5,3,FALSE)</f>
        <v>45</v>
      </c>
      <c r="N21">
        <f t="shared" si="0"/>
        <v>135</v>
      </c>
      <c r="O21">
        <f t="shared" si="1"/>
        <v>90</v>
      </c>
      <c r="P21" t="str">
        <f>IF(AND(F21="Nağd",G21&gt;5),M21*0.9,"0%")</f>
        <v>0%</v>
      </c>
      <c r="Q21" s="9">
        <f>IF(F21="Kredit",EOMONTH(B21,0),"")</f>
        <v>46203</v>
      </c>
      <c r="R21" s="17" t="str">
        <f>TEXT(B21,"dddd")</f>
        <v>Thursday</v>
      </c>
    </row>
    <row r="22" spans="1:18">
      <c r="A22" s="5" t="s">
        <v>29</v>
      </c>
      <c r="B22" s="8">
        <v>46179</v>
      </c>
      <c r="C22" s="5" t="s">
        <v>979</v>
      </c>
      <c r="D22" s="5" t="s">
        <v>15</v>
      </c>
      <c r="E22" s="5" t="s">
        <v>966</v>
      </c>
      <c r="F22" s="5" t="s">
        <v>965</v>
      </c>
      <c r="G22" s="5">
        <v>6</v>
      </c>
      <c r="H22" s="5" t="s">
        <v>963</v>
      </c>
      <c r="I22" s="13">
        <v>551595964</v>
      </c>
      <c r="J22" s="10" t="s">
        <v>1005</v>
      </c>
      <c r="K22" t="str">
        <f>LEFT(C22,FIND(" ",C22)-1)&amp;"-"&amp;E22&amp;" "&amp;"Filialina çardırılma"</f>
        <v>Leyla-Bakı Filialina çardırılma</v>
      </c>
      <c r="L22">
        <f>VLOOKUP(D22,Anbar!$A$2:$B$5,2,FALSE)</f>
        <v>600</v>
      </c>
      <c r="M22">
        <f>VLOOKUP(D22,Anbar!$A$2:$C$5,3,FALSE)</f>
        <v>950</v>
      </c>
      <c r="N22">
        <f t="shared" si="0"/>
        <v>5700</v>
      </c>
      <c r="O22">
        <f t="shared" si="1"/>
        <v>2100</v>
      </c>
      <c r="P22">
        <f>IF(AND(F22="Nağd",G22&gt;5),M22*0.9,"0%")</f>
        <v>855</v>
      </c>
      <c r="Q22" s="9" t="str">
        <f>IF(F22="Kredit",EOMONTH(B22,0),"")</f>
        <v/>
      </c>
      <c r="R22" s="17" t="str">
        <f>TEXT(B22,"dddd")</f>
        <v>Saturday</v>
      </c>
    </row>
    <row r="23" spans="1:18">
      <c r="A23" s="5" t="s">
        <v>30</v>
      </c>
      <c r="B23" s="8">
        <v>46151</v>
      </c>
      <c r="C23" s="5" t="s">
        <v>978</v>
      </c>
      <c r="D23" s="5" t="s">
        <v>971</v>
      </c>
      <c r="E23" s="5" t="s">
        <v>964</v>
      </c>
      <c r="F23" s="5" t="s">
        <v>7</v>
      </c>
      <c r="G23" s="5">
        <v>7</v>
      </c>
      <c r="H23" s="5" t="s">
        <v>963</v>
      </c>
      <c r="I23" s="13">
        <v>513705783</v>
      </c>
      <c r="J23" s="10" t="s">
        <v>1006</v>
      </c>
      <c r="K23" t="str">
        <f>LEFT(C23,FIND(" ",C23)-1)&amp;"-"&amp;E23&amp;" "&amp;"Filialina çardırılma"</f>
        <v>Əli-Sumqayıt Filialina çardırılma</v>
      </c>
      <c r="L23">
        <f>VLOOKUP(D23,Anbar!$A$2:$B$5,2,FALSE)</f>
        <v>1200</v>
      </c>
      <c r="M23">
        <f>VLOOKUP(D23,Anbar!$A$2:$C$5,3,FALSE)</f>
        <v>1800</v>
      </c>
      <c r="N23">
        <f t="shared" si="0"/>
        <v>12600</v>
      </c>
      <c r="O23">
        <f t="shared" si="1"/>
        <v>4200</v>
      </c>
      <c r="P23" t="str">
        <f>IF(AND(F23="Nağd",G23&gt;5),M23*0.9,"0%")</f>
        <v>0%</v>
      </c>
      <c r="Q23" s="9" t="str">
        <f>IF(F23="Kredit",EOMONTH(B23,0),"")</f>
        <v/>
      </c>
      <c r="R23" s="17" t="str">
        <f>TEXT(B23,"dddd")</f>
        <v>Saturday</v>
      </c>
    </row>
    <row r="24" spans="1:18">
      <c r="A24" s="5" t="s">
        <v>31</v>
      </c>
      <c r="B24" s="8">
        <v>46040</v>
      </c>
      <c r="C24" s="5" t="s">
        <v>6</v>
      </c>
      <c r="D24" s="5" t="s">
        <v>971</v>
      </c>
      <c r="E24" s="5" t="s">
        <v>981</v>
      </c>
      <c r="F24" s="5" t="s">
        <v>965</v>
      </c>
      <c r="G24" s="5">
        <v>6</v>
      </c>
      <c r="H24" s="5" t="s">
        <v>963</v>
      </c>
      <c r="I24" s="13">
        <v>509764011</v>
      </c>
      <c r="J24" s="10" t="s">
        <v>1007</v>
      </c>
      <c r="K24" t="str">
        <f>LEFT(C24,FIND(" ",C24)-1)&amp;"-"&amp;E24&amp;" "&amp;"Filialina çardırılma"</f>
        <v>Zaur-Gəncə Filialina çardırılma</v>
      </c>
      <c r="L24">
        <f>VLOOKUP(D24,Anbar!$A$2:$B$5,2,FALSE)</f>
        <v>1200</v>
      </c>
      <c r="M24">
        <f>VLOOKUP(D24,Anbar!$A$2:$C$5,3,FALSE)</f>
        <v>1800</v>
      </c>
      <c r="N24">
        <f t="shared" si="0"/>
        <v>10800</v>
      </c>
      <c r="O24">
        <f t="shared" si="1"/>
        <v>3600</v>
      </c>
      <c r="P24">
        <f>IF(AND(F24="Nağd",G24&gt;5),M24*0.9,"0%")</f>
        <v>1620</v>
      </c>
      <c r="Q24" s="9" t="str">
        <f>IF(F24="Kredit",EOMONTH(B24,0),"")</f>
        <v/>
      </c>
      <c r="R24" s="17" t="str">
        <f>TEXT(B24,"dddd")</f>
        <v>Sunday</v>
      </c>
    </row>
    <row r="25" spans="1:18">
      <c r="A25" s="5" t="s">
        <v>32</v>
      </c>
      <c r="B25" s="8">
        <v>46106</v>
      </c>
      <c r="C25" s="5" t="s">
        <v>967</v>
      </c>
      <c r="D25" s="5" t="s">
        <v>20</v>
      </c>
      <c r="E25" s="5" t="s">
        <v>966</v>
      </c>
      <c r="F25" s="5" t="s">
        <v>4</v>
      </c>
      <c r="G25" s="5">
        <v>3</v>
      </c>
      <c r="H25" s="5" t="s">
        <v>963</v>
      </c>
      <c r="I25" s="13">
        <v>551833724</v>
      </c>
      <c r="J25" s="10" t="s">
        <v>1008</v>
      </c>
      <c r="K25" t="str">
        <f>LEFT(C25,FIND(" ",C25)-1)&amp;"-"&amp;E25&amp;" "&amp;"Filialina çardırılma"</f>
        <v>Aysel-Bakı Filialina çardırılma</v>
      </c>
      <c r="L25">
        <f>VLOOKUP(D25,Anbar!$A$2:$B$5,2,FALSE)</f>
        <v>15</v>
      </c>
      <c r="M25">
        <f>VLOOKUP(D25,Anbar!$A$2:$C$5,3,FALSE)</f>
        <v>45</v>
      </c>
      <c r="N25">
        <f t="shared" si="0"/>
        <v>135</v>
      </c>
      <c r="O25">
        <f t="shared" si="1"/>
        <v>90</v>
      </c>
      <c r="P25" t="str">
        <f>IF(AND(F25="Nağd",G25&gt;5),M25*0.9,"0%")</f>
        <v>0%</v>
      </c>
      <c r="Q25" s="9">
        <f>IF(F25="Kredit",EOMONTH(B25,0),"")</f>
        <v>46112</v>
      </c>
      <c r="R25" s="17" t="str">
        <f>TEXT(B25,"dddd")</f>
        <v>Wednesday</v>
      </c>
    </row>
    <row r="26" spans="1:18">
      <c r="A26" s="5" t="s">
        <v>33</v>
      </c>
      <c r="B26" s="8">
        <v>46040</v>
      </c>
      <c r="C26" s="5" t="s">
        <v>979</v>
      </c>
      <c r="D26" s="5" t="s">
        <v>15</v>
      </c>
      <c r="E26" s="5" t="s">
        <v>982</v>
      </c>
      <c r="F26" s="5" t="s">
        <v>4</v>
      </c>
      <c r="G26" s="5">
        <v>1</v>
      </c>
      <c r="H26" s="5" t="s">
        <v>963</v>
      </c>
      <c r="I26" s="13">
        <v>559538221</v>
      </c>
      <c r="J26" s="10" t="s">
        <v>1009</v>
      </c>
      <c r="K26" t="str">
        <f>LEFT(C26,FIND(" ",C26)-1)&amp;"-"&amp;E26&amp;" "&amp;"Filialina çardırılma"</f>
        <v>Leyla-Baki Filialina çardırılma</v>
      </c>
      <c r="L26">
        <f>VLOOKUP(D26,Anbar!$A$2:$B$5,2,FALSE)</f>
        <v>600</v>
      </c>
      <c r="M26">
        <f>VLOOKUP(D26,Anbar!$A$2:$C$5,3,FALSE)</f>
        <v>950</v>
      </c>
      <c r="N26">
        <f t="shared" si="0"/>
        <v>950</v>
      </c>
      <c r="O26">
        <f t="shared" si="1"/>
        <v>350</v>
      </c>
      <c r="P26" t="str">
        <f>IF(AND(F26="Nağd",G26&gt;5),M26*0.9,"0%")</f>
        <v>0%</v>
      </c>
      <c r="Q26" s="9">
        <f>IF(F26="Kredit",EOMONTH(B26,0),"")</f>
        <v>46053</v>
      </c>
      <c r="R26" s="17" t="str">
        <f>TEXT(B26,"dddd")</f>
        <v>Sunday</v>
      </c>
    </row>
    <row r="27" spans="1:18">
      <c r="A27" s="5" t="s">
        <v>34</v>
      </c>
      <c r="B27" s="8">
        <v>46139</v>
      </c>
      <c r="C27" s="5" t="s">
        <v>976</v>
      </c>
      <c r="D27" s="5" t="s">
        <v>15</v>
      </c>
      <c r="E27" s="5" t="s">
        <v>981</v>
      </c>
      <c r="F27" s="5" t="s">
        <v>7</v>
      </c>
      <c r="G27" s="5">
        <v>7</v>
      </c>
      <c r="H27" s="5" t="s">
        <v>963</v>
      </c>
      <c r="I27" s="13">
        <v>558740437</v>
      </c>
      <c r="J27" s="10" t="s">
        <v>1010</v>
      </c>
      <c r="K27" t="str">
        <f>LEFT(C27,FIND(" ",C27)-1)&amp;"-"&amp;E27&amp;" "&amp;"Filialina çardırılma"</f>
        <v>Nərgin-Gəncə Filialina çardırılma</v>
      </c>
      <c r="L27">
        <f>VLOOKUP(D27,Anbar!$A$2:$B$5,2,FALSE)</f>
        <v>600</v>
      </c>
      <c r="M27">
        <f>VLOOKUP(D27,Anbar!$A$2:$C$5,3,FALSE)</f>
        <v>950</v>
      </c>
      <c r="N27">
        <f t="shared" si="0"/>
        <v>6650</v>
      </c>
      <c r="O27">
        <f t="shared" si="1"/>
        <v>2450</v>
      </c>
      <c r="P27" t="str">
        <f>IF(AND(F27="Nağd",G27&gt;5),M27*0.9,"0%")</f>
        <v>0%</v>
      </c>
      <c r="Q27" s="9" t="str">
        <f>IF(F27="Kredit",EOMONTH(B27,0),"")</f>
        <v/>
      </c>
      <c r="R27" s="17" t="str">
        <f>TEXT(B27,"dddd")</f>
        <v>Monday</v>
      </c>
    </row>
    <row r="28" spans="1:18">
      <c r="A28" s="5" t="s">
        <v>35</v>
      </c>
      <c r="B28" s="8">
        <v>46061</v>
      </c>
      <c r="C28" s="5" t="s">
        <v>974</v>
      </c>
      <c r="D28" s="5" t="s">
        <v>15</v>
      </c>
      <c r="E28" s="5" t="s">
        <v>982</v>
      </c>
      <c r="F28" s="5" t="s">
        <v>965</v>
      </c>
      <c r="G28" s="5">
        <v>3</v>
      </c>
      <c r="H28" s="5" t="s">
        <v>963</v>
      </c>
      <c r="I28" s="13">
        <v>771965952</v>
      </c>
      <c r="J28" s="10" t="s">
        <v>1011</v>
      </c>
      <c r="K28" t="str">
        <f>LEFT(C28,FIND(" ",C28)-1)&amp;"-"&amp;E28&amp;" "&amp;"Filialina çardırılma"</f>
        <v>Ramil-Baki Filialina çardırılma</v>
      </c>
      <c r="L28">
        <f>VLOOKUP(D28,Anbar!$A$2:$B$5,2,FALSE)</f>
        <v>600</v>
      </c>
      <c r="M28">
        <f>VLOOKUP(D28,Anbar!$A$2:$C$5,3,FALSE)</f>
        <v>950</v>
      </c>
      <c r="N28">
        <f t="shared" si="0"/>
        <v>2850</v>
      </c>
      <c r="O28">
        <f t="shared" si="1"/>
        <v>1050</v>
      </c>
      <c r="P28" t="str">
        <f>IF(AND(F28="Nağd",G28&gt;5),M28*0.9,"0%")</f>
        <v>0%</v>
      </c>
      <c r="Q28" s="9" t="str">
        <f>IF(F28="Kredit",EOMONTH(B28,0),"")</f>
        <v/>
      </c>
      <c r="R28" s="17" t="str">
        <f>TEXT(B28,"dddd")</f>
        <v>Sunday</v>
      </c>
    </row>
    <row r="29" spans="1:18">
      <c r="A29" s="5" t="s">
        <v>36</v>
      </c>
      <c r="B29" s="8">
        <v>46173</v>
      </c>
      <c r="C29" s="5" t="s">
        <v>974</v>
      </c>
      <c r="D29" s="5" t="s">
        <v>971</v>
      </c>
      <c r="E29" s="5" t="s">
        <v>982</v>
      </c>
      <c r="F29" s="5" t="s">
        <v>965</v>
      </c>
      <c r="G29" s="5">
        <v>5</v>
      </c>
      <c r="H29" s="5" t="s">
        <v>963</v>
      </c>
      <c r="I29" s="13">
        <v>515252081</v>
      </c>
      <c r="J29" s="10" t="s">
        <v>1012</v>
      </c>
      <c r="K29" t="str">
        <f>LEFT(C29,FIND(" ",C29)-1)&amp;"-"&amp;E29&amp;" "&amp;"Filialina çardırılma"</f>
        <v>Ramil-Baki Filialina çardırılma</v>
      </c>
      <c r="L29">
        <f>VLOOKUP(D29,Anbar!$A$2:$B$5,2,FALSE)</f>
        <v>1200</v>
      </c>
      <c r="M29">
        <f>VLOOKUP(D29,Anbar!$A$2:$C$5,3,FALSE)</f>
        <v>1800</v>
      </c>
      <c r="N29">
        <f t="shared" si="0"/>
        <v>9000</v>
      </c>
      <c r="O29">
        <f t="shared" si="1"/>
        <v>3000</v>
      </c>
      <c r="P29" t="str">
        <f>IF(AND(F29="Nağd",G29&gt;5),M29*0.9,"0%")</f>
        <v>0%</v>
      </c>
      <c r="Q29" s="9" t="str">
        <f>IF(F29="Kredit",EOMONTH(B29,0),"")</f>
        <v/>
      </c>
      <c r="R29" s="17" t="str">
        <f>TEXT(B29,"dddd")</f>
        <v>Sunday</v>
      </c>
    </row>
    <row r="30" spans="1:18">
      <c r="A30" s="5" t="s">
        <v>37</v>
      </c>
      <c r="B30" s="8">
        <v>46040</v>
      </c>
      <c r="C30" s="5" t="s">
        <v>976</v>
      </c>
      <c r="D30" s="5" t="s">
        <v>968</v>
      </c>
      <c r="E30" s="5" t="s">
        <v>982</v>
      </c>
      <c r="F30" s="5" t="s">
        <v>4</v>
      </c>
      <c r="G30" s="5">
        <v>4</v>
      </c>
      <c r="H30" s="5" t="s">
        <v>963</v>
      </c>
      <c r="I30" s="13">
        <v>557831341</v>
      </c>
      <c r="J30" s="10" t="s">
        <v>1013</v>
      </c>
      <c r="K30" t="str">
        <f>LEFT(C30,FIND(" ",C30)-1)&amp;"-"&amp;E30&amp;" "&amp;"Filialina çardırılma"</f>
        <v>Nərgin-Baki Filialina çardırılma</v>
      </c>
      <c r="L30">
        <f>VLOOKUP(D30,Anbar!$A$2:$B$5,2,FALSE)</f>
        <v>400</v>
      </c>
      <c r="M30">
        <f>VLOOKUP(D30,Anbar!$A$2:$C$5,3,FALSE)</f>
        <v>650</v>
      </c>
      <c r="N30">
        <f t="shared" si="0"/>
        <v>2600</v>
      </c>
      <c r="O30">
        <f t="shared" si="1"/>
        <v>1000</v>
      </c>
      <c r="P30" t="str">
        <f>IF(AND(F30="Nağd",G30&gt;5),M30*0.9,"0%")</f>
        <v>0%</v>
      </c>
      <c r="Q30" s="9">
        <f>IF(F30="Kredit",EOMONTH(B30,0),"")</f>
        <v>46053</v>
      </c>
      <c r="R30" s="17" t="str">
        <f>TEXT(B30,"dddd")</f>
        <v>Sunday</v>
      </c>
    </row>
    <row r="31" spans="1:18">
      <c r="A31" s="5" t="s">
        <v>38</v>
      </c>
      <c r="B31" s="8">
        <v>46035</v>
      </c>
      <c r="C31" s="5" t="s">
        <v>967</v>
      </c>
      <c r="D31" s="5" t="s">
        <v>15</v>
      </c>
      <c r="E31" s="5" t="s">
        <v>964</v>
      </c>
      <c r="F31" s="5" t="s">
        <v>4</v>
      </c>
      <c r="G31" s="5">
        <v>2</v>
      </c>
      <c r="H31" s="5" t="s">
        <v>963</v>
      </c>
      <c r="I31" s="13">
        <v>774042788</v>
      </c>
      <c r="J31" s="10" t="s">
        <v>1014</v>
      </c>
      <c r="K31" t="str">
        <f>LEFT(C31,FIND(" ",C31)-1)&amp;"-"&amp;E31&amp;" "&amp;"Filialina çardırılma"</f>
        <v>Aysel-Sumqayıt Filialina çardırılma</v>
      </c>
      <c r="L31">
        <f>VLOOKUP(D31,Anbar!$A$2:$B$5,2,FALSE)</f>
        <v>600</v>
      </c>
      <c r="M31">
        <f>VLOOKUP(D31,Anbar!$A$2:$C$5,3,FALSE)</f>
        <v>950</v>
      </c>
      <c r="N31">
        <f t="shared" si="0"/>
        <v>1900</v>
      </c>
      <c r="O31">
        <f t="shared" si="1"/>
        <v>700</v>
      </c>
      <c r="P31" t="str">
        <f>IF(AND(F31="Nağd",G31&gt;5),M31*0.9,"0%")</f>
        <v>0%</v>
      </c>
      <c r="Q31" s="9">
        <f>IF(F31="Kredit",EOMONTH(B31,0),"")</f>
        <v>46053</v>
      </c>
      <c r="R31" s="17" t="str">
        <f>TEXT(B31,"dddd")</f>
        <v>Tuesday</v>
      </c>
    </row>
    <row r="32" spans="1:18">
      <c r="A32" s="5" t="s">
        <v>39</v>
      </c>
      <c r="B32" s="8">
        <v>46108</v>
      </c>
      <c r="C32" s="5" t="s">
        <v>979</v>
      </c>
      <c r="D32" s="5" t="s">
        <v>20</v>
      </c>
      <c r="E32" s="5" t="s">
        <v>9</v>
      </c>
      <c r="F32" s="5" t="s">
        <v>965</v>
      </c>
      <c r="G32" s="5">
        <v>3</v>
      </c>
      <c r="H32" s="5" t="s">
        <v>963</v>
      </c>
      <c r="I32" s="13">
        <v>778571208</v>
      </c>
      <c r="J32" s="10" t="s">
        <v>1015</v>
      </c>
      <c r="K32" t="str">
        <f>LEFT(C32,FIND(" ",C32)-1)&amp;"-"&amp;E32&amp;" "&amp;"Filialina çardırılma"</f>
        <v>Leyla-Gence Filialina çardırılma</v>
      </c>
      <c r="L32">
        <f>VLOOKUP(D32,Anbar!$A$2:$B$5,2,FALSE)</f>
        <v>15</v>
      </c>
      <c r="M32">
        <f>VLOOKUP(D32,Anbar!$A$2:$C$5,3,FALSE)</f>
        <v>45</v>
      </c>
      <c r="N32">
        <f t="shared" si="0"/>
        <v>135</v>
      </c>
      <c r="O32">
        <f t="shared" si="1"/>
        <v>90</v>
      </c>
      <c r="P32" t="str">
        <f>IF(AND(F32="Nağd",G32&gt;5),M32*0.9,"0%")</f>
        <v>0%</v>
      </c>
      <c r="Q32" s="9" t="str">
        <f>IF(F32="Kredit",EOMONTH(B32,0),"")</f>
        <v/>
      </c>
      <c r="R32" s="17" t="str">
        <f>TEXT(B32,"dddd")</f>
        <v>Friday</v>
      </c>
    </row>
    <row r="33" spans="1:18">
      <c r="A33" s="5" t="s">
        <v>40</v>
      </c>
      <c r="B33" s="8">
        <v>46097</v>
      </c>
      <c r="C33" s="5" t="s">
        <v>974</v>
      </c>
      <c r="D33" s="5" t="s">
        <v>15</v>
      </c>
      <c r="E33" s="5" t="s">
        <v>9</v>
      </c>
      <c r="F33" s="5" t="s">
        <v>965</v>
      </c>
      <c r="G33" s="5">
        <v>10</v>
      </c>
      <c r="H33" s="5" t="s">
        <v>963</v>
      </c>
      <c r="I33" s="13">
        <v>552235354</v>
      </c>
      <c r="J33" s="10" t="s">
        <v>1016</v>
      </c>
      <c r="K33" t="str">
        <f>LEFT(C33,FIND(" ",C33)-1)&amp;"-"&amp;E33&amp;" "&amp;"Filialina çardırılma"</f>
        <v>Ramil-Gence Filialina çardırılma</v>
      </c>
      <c r="L33">
        <f>VLOOKUP(D33,Anbar!$A$2:$B$5,2,FALSE)</f>
        <v>600</v>
      </c>
      <c r="M33">
        <f>VLOOKUP(D33,Anbar!$A$2:$C$5,3,FALSE)</f>
        <v>950</v>
      </c>
      <c r="N33">
        <f t="shared" si="0"/>
        <v>9500</v>
      </c>
      <c r="O33">
        <f t="shared" si="1"/>
        <v>3500</v>
      </c>
      <c r="P33">
        <f>IF(AND(F33="Nağd",G33&gt;5),M33*0.9,"0%")</f>
        <v>855</v>
      </c>
      <c r="Q33" s="9" t="str">
        <f>IF(F33="Kredit",EOMONTH(B33,0),"")</f>
        <v/>
      </c>
      <c r="R33" s="17" t="str">
        <f>TEXT(B33,"dddd")</f>
        <v>Monday</v>
      </c>
    </row>
    <row r="34" spans="1:18">
      <c r="A34" s="5" t="s">
        <v>41</v>
      </c>
      <c r="B34" s="8">
        <v>46079</v>
      </c>
      <c r="C34" s="5" t="s">
        <v>976</v>
      </c>
      <c r="D34" s="5" t="s">
        <v>971</v>
      </c>
      <c r="E34" s="5" t="s">
        <v>964</v>
      </c>
      <c r="F34" s="5" t="s">
        <v>7</v>
      </c>
      <c r="G34" s="5">
        <v>8</v>
      </c>
      <c r="H34" s="5" t="s">
        <v>963</v>
      </c>
      <c r="I34" s="13">
        <v>778489216</v>
      </c>
      <c r="J34" s="10" t="s">
        <v>1017</v>
      </c>
      <c r="K34" t="str">
        <f>LEFT(C34,FIND(" ",C34)-1)&amp;"-"&amp;E34&amp;" "&amp;"Filialina çardırılma"</f>
        <v>Nərgin-Sumqayıt Filialina çardırılma</v>
      </c>
      <c r="L34">
        <f>VLOOKUP(D34,Anbar!$A$2:$B$5,2,FALSE)</f>
        <v>1200</v>
      </c>
      <c r="M34">
        <f>VLOOKUP(D34,Anbar!$A$2:$C$5,3,FALSE)</f>
        <v>1800</v>
      </c>
      <c r="N34">
        <f t="shared" si="0"/>
        <v>14400</v>
      </c>
      <c r="O34">
        <f t="shared" si="1"/>
        <v>4800</v>
      </c>
      <c r="P34" t="str">
        <f>IF(AND(F34="Nağd",G34&gt;5),M34*0.9,"0%")</f>
        <v>0%</v>
      </c>
      <c r="Q34" s="9" t="str">
        <f>IF(F34="Kredit",EOMONTH(B34,0),"")</f>
        <v/>
      </c>
      <c r="R34" s="17" t="str">
        <f>TEXT(B34,"dddd")</f>
        <v>Thursday</v>
      </c>
    </row>
    <row r="35" spans="1:18">
      <c r="A35" s="5" t="s">
        <v>42</v>
      </c>
      <c r="B35" s="8">
        <v>46075</v>
      </c>
      <c r="C35" s="5" t="s">
        <v>967</v>
      </c>
      <c r="D35" s="5" t="s">
        <v>971</v>
      </c>
      <c r="E35" s="5" t="s">
        <v>9</v>
      </c>
      <c r="F35" s="5" t="s">
        <v>4</v>
      </c>
      <c r="G35" s="5">
        <v>2</v>
      </c>
      <c r="H35" s="5" t="s">
        <v>963</v>
      </c>
      <c r="I35" s="13">
        <v>515328334</v>
      </c>
      <c r="J35" s="10" t="s">
        <v>1018</v>
      </c>
      <c r="K35" t="str">
        <f>LEFT(C35,FIND(" ",C35)-1)&amp;"-"&amp;E35&amp;" "&amp;"Filialina çardırılma"</f>
        <v>Aysel-Gence Filialina çardırılma</v>
      </c>
      <c r="L35">
        <f>VLOOKUP(D35,Anbar!$A$2:$B$5,2,FALSE)</f>
        <v>1200</v>
      </c>
      <c r="M35">
        <f>VLOOKUP(D35,Anbar!$A$2:$C$5,3,FALSE)</f>
        <v>1800</v>
      </c>
      <c r="N35">
        <f t="shared" si="0"/>
        <v>3600</v>
      </c>
      <c r="O35">
        <f t="shared" si="1"/>
        <v>1200</v>
      </c>
      <c r="P35" t="str">
        <f>IF(AND(F35="Nağd",G35&gt;5),M35*0.9,"0%")</f>
        <v>0%</v>
      </c>
      <c r="Q35" s="9">
        <f>IF(F35="Kredit",EOMONTH(B35,0),"")</f>
        <v>46081</v>
      </c>
      <c r="R35" s="17" t="str">
        <f>TEXT(B35,"dddd")</f>
        <v>Sunday</v>
      </c>
    </row>
    <row r="36" spans="1:18">
      <c r="A36" s="5" t="s">
        <v>43</v>
      </c>
      <c r="B36" s="8">
        <v>46115</v>
      </c>
      <c r="C36" s="5" t="s">
        <v>977</v>
      </c>
      <c r="D36" s="5" t="s">
        <v>971</v>
      </c>
      <c r="E36" s="5" t="s">
        <v>983</v>
      </c>
      <c r="F36" s="5" t="s">
        <v>7</v>
      </c>
      <c r="G36" s="5">
        <v>6</v>
      </c>
      <c r="H36" s="5" t="s">
        <v>963</v>
      </c>
      <c r="I36" s="13">
        <v>705257492</v>
      </c>
      <c r="J36" s="10" t="s">
        <v>1019</v>
      </c>
      <c r="K36" t="str">
        <f>LEFT(C36,FIND(" ",C36)-1)&amp;"-"&amp;E36&amp;" "&amp;"Filialina çardırılma"</f>
        <v>Elnur-Naməlum Filialina çardırılma</v>
      </c>
      <c r="L36">
        <f>VLOOKUP(D36,Anbar!$A$2:$B$5,2,FALSE)</f>
        <v>1200</v>
      </c>
      <c r="M36">
        <f>VLOOKUP(D36,Anbar!$A$2:$C$5,3,FALSE)</f>
        <v>1800</v>
      </c>
      <c r="N36">
        <f t="shared" si="0"/>
        <v>10800</v>
      </c>
      <c r="O36">
        <f t="shared" si="1"/>
        <v>3600</v>
      </c>
      <c r="P36" t="str">
        <f>IF(AND(F36="Nağd",G36&gt;5),M36*0.9,"0%")</f>
        <v>0%</v>
      </c>
      <c r="Q36" s="9" t="str">
        <f>IF(F36="Kredit",EOMONTH(B36,0),"")</f>
        <v/>
      </c>
      <c r="R36" s="17" t="str">
        <f>TEXT(B36,"dddd")</f>
        <v>Friday</v>
      </c>
    </row>
    <row r="37" spans="1:18">
      <c r="A37" s="5" t="s">
        <v>44</v>
      </c>
      <c r="B37" s="8">
        <v>46047</v>
      </c>
      <c r="C37" s="5" t="s">
        <v>6</v>
      </c>
      <c r="D37" s="5" t="s">
        <v>20</v>
      </c>
      <c r="E37" s="5" t="s">
        <v>982</v>
      </c>
      <c r="F37" s="5" t="s">
        <v>4</v>
      </c>
      <c r="G37" s="5">
        <v>4</v>
      </c>
      <c r="H37" s="5" t="s">
        <v>963</v>
      </c>
      <c r="I37" s="13">
        <v>777562578</v>
      </c>
      <c r="J37" s="10" t="s">
        <v>1020</v>
      </c>
      <c r="K37" t="str">
        <f>LEFT(C37,FIND(" ",C37)-1)&amp;"-"&amp;E37&amp;" "&amp;"Filialina çardırılma"</f>
        <v>Zaur-Baki Filialina çardırılma</v>
      </c>
      <c r="L37">
        <f>VLOOKUP(D37,Anbar!$A$2:$B$5,2,FALSE)</f>
        <v>15</v>
      </c>
      <c r="M37">
        <f>VLOOKUP(D37,Anbar!$A$2:$C$5,3,FALSE)</f>
        <v>45</v>
      </c>
      <c r="N37">
        <f t="shared" si="0"/>
        <v>180</v>
      </c>
      <c r="O37">
        <f t="shared" si="1"/>
        <v>120</v>
      </c>
      <c r="P37" t="str">
        <f>IF(AND(F37="Nağd",G37&gt;5),M37*0.9,"0%")</f>
        <v>0%</v>
      </c>
      <c r="Q37" s="9">
        <f>IF(F37="Kredit",EOMONTH(B37,0),"")</f>
        <v>46053</v>
      </c>
      <c r="R37" s="17" t="str">
        <f>TEXT(B37,"dddd")</f>
        <v>Sunday</v>
      </c>
    </row>
    <row r="38" spans="1:18">
      <c r="A38" s="5" t="s">
        <v>45</v>
      </c>
      <c r="B38" s="8">
        <v>46146</v>
      </c>
      <c r="C38" s="5" t="s">
        <v>977</v>
      </c>
      <c r="D38" s="5" t="s">
        <v>971</v>
      </c>
      <c r="E38" s="5" t="s">
        <v>982</v>
      </c>
      <c r="F38" s="5" t="s">
        <v>965</v>
      </c>
      <c r="G38" s="5">
        <v>6</v>
      </c>
      <c r="H38" s="5" t="s">
        <v>963</v>
      </c>
      <c r="I38" s="13">
        <v>554995560</v>
      </c>
      <c r="J38" s="10" t="s">
        <v>1021</v>
      </c>
      <c r="K38" t="str">
        <f>LEFT(C38,FIND(" ",C38)-1)&amp;"-"&amp;E38&amp;" "&amp;"Filialina çardırılma"</f>
        <v>Elnur-Baki Filialina çardırılma</v>
      </c>
      <c r="L38">
        <f>VLOOKUP(D38,Anbar!$A$2:$B$5,2,FALSE)</f>
        <v>1200</v>
      </c>
      <c r="M38">
        <f>VLOOKUP(D38,Anbar!$A$2:$C$5,3,FALSE)</f>
        <v>1800</v>
      </c>
      <c r="N38">
        <f t="shared" si="0"/>
        <v>10800</v>
      </c>
      <c r="O38">
        <f t="shared" si="1"/>
        <v>3600</v>
      </c>
      <c r="P38">
        <f>IF(AND(F38="Nağd",G38&gt;5),M38*0.9,"0%")</f>
        <v>1620</v>
      </c>
      <c r="Q38" s="9" t="str">
        <f>IF(F38="Kredit",EOMONTH(B38,0),"")</f>
        <v/>
      </c>
      <c r="R38" s="17" t="str">
        <f>TEXT(B38,"dddd")</f>
        <v>Monday</v>
      </c>
    </row>
    <row r="39" spans="1:18">
      <c r="A39" s="5" t="s">
        <v>46</v>
      </c>
      <c r="B39" s="8">
        <v>46077</v>
      </c>
      <c r="C39" s="5" t="s">
        <v>979</v>
      </c>
      <c r="D39" s="5" t="s">
        <v>968</v>
      </c>
      <c r="E39" s="5" t="s">
        <v>981</v>
      </c>
      <c r="F39" s="5" t="s">
        <v>4</v>
      </c>
      <c r="G39" s="5">
        <v>8</v>
      </c>
      <c r="H39" s="5" t="s">
        <v>963</v>
      </c>
      <c r="I39" s="13">
        <v>557040365</v>
      </c>
      <c r="J39" s="10" t="s">
        <v>1022</v>
      </c>
      <c r="K39" t="str">
        <f>LEFT(C39,FIND(" ",C39)-1)&amp;"-"&amp;E39&amp;" "&amp;"Filialina çardırılma"</f>
        <v>Leyla-Gəncə Filialina çardırılma</v>
      </c>
      <c r="L39">
        <f>VLOOKUP(D39,Anbar!$A$2:$B$5,2,FALSE)</f>
        <v>400</v>
      </c>
      <c r="M39">
        <f>VLOOKUP(D39,Anbar!$A$2:$C$5,3,FALSE)</f>
        <v>650</v>
      </c>
      <c r="N39">
        <f t="shared" si="0"/>
        <v>5200</v>
      </c>
      <c r="O39">
        <f t="shared" si="1"/>
        <v>2000</v>
      </c>
      <c r="P39" t="str">
        <f>IF(AND(F39="Nağd",G39&gt;5),M39*0.9,"0%")</f>
        <v>0%</v>
      </c>
      <c r="Q39" s="9">
        <f>IF(F39="Kredit",EOMONTH(B39,0),"")</f>
        <v>46081</v>
      </c>
      <c r="R39" s="17" t="str">
        <f>TEXT(B39,"dddd")</f>
        <v>Tuesday</v>
      </c>
    </row>
    <row r="40" spans="1:18">
      <c r="A40" s="5" t="s">
        <v>47</v>
      </c>
      <c r="B40" s="8">
        <v>46149</v>
      </c>
      <c r="C40" s="5" t="s">
        <v>976</v>
      </c>
      <c r="D40" s="5" t="s">
        <v>20</v>
      </c>
      <c r="E40" s="5" t="s">
        <v>964</v>
      </c>
      <c r="F40" s="5" t="s">
        <v>965</v>
      </c>
      <c r="G40" s="5">
        <v>10</v>
      </c>
      <c r="H40" s="5" t="s">
        <v>963</v>
      </c>
      <c r="I40" s="13">
        <v>701027936</v>
      </c>
      <c r="J40" s="10" t="s">
        <v>1023</v>
      </c>
      <c r="K40" t="str">
        <f>LEFT(C40,FIND(" ",C40)-1)&amp;"-"&amp;E40&amp;" "&amp;"Filialina çardırılma"</f>
        <v>Nərgin-Sumqayıt Filialina çardırılma</v>
      </c>
      <c r="L40">
        <f>VLOOKUP(D40,Anbar!$A$2:$B$5,2,FALSE)</f>
        <v>15</v>
      </c>
      <c r="M40">
        <f>VLOOKUP(D40,Anbar!$A$2:$C$5,3,FALSE)</f>
        <v>45</v>
      </c>
      <c r="N40">
        <f t="shared" si="0"/>
        <v>450</v>
      </c>
      <c r="O40">
        <f t="shared" si="1"/>
        <v>300</v>
      </c>
      <c r="P40">
        <f>IF(AND(F40="Nağd",G40&gt;5),M40*0.9,"0%")</f>
        <v>40.5</v>
      </c>
      <c r="Q40" s="9" t="str">
        <f>IF(F40="Kredit",EOMONTH(B40,0),"")</f>
        <v/>
      </c>
      <c r="R40" s="17" t="str">
        <f>TEXT(B40,"dddd")</f>
        <v>Thursday</v>
      </c>
    </row>
    <row r="41" spans="1:18">
      <c r="A41" s="5" t="s">
        <v>48</v>
      </c>
      <c r="B41" s="8">
        <v>46110</v>
      </c>
      <c r="C41" s="5" t="s">
        <v>967</v>
      </c>
      <c r="D41" s="5" t="s">
        <v>15</v>
      </c>
      <c r="E41" s="5" t="s">
        <v>966</v>
      </c>
      <c r="F41" s="5" t="s">
        <v>4</v>
      </c>
      <c r="G41" s="5">
        <v>2</v>
      </c>
      <c r="H41" s="5" t="s">
        <v>963</v>
      </c>
      <c r="I41" s="13">
        <v>779606909</v>
      </c>
      <c r="J41" s="10" t="s">
        <v>1024</v>
      </c>
      <c r="K41" t="str">
        <f>LEFT(C41,FIND(" ",C41)-1)&amp;"-"&amp;E41&amp;" "&amp;"Filialina çardırılma"</f>
        <v>Aysel-Bakı Filialina çardırılma</v>
      </c>
      <c r="L41">
        <f>VLOOKUP(D41,Anbar!$A$2:$B$5,2,FALSE)</f>
        <v>600</v>
      </c>
      <c r="M41">
        <f>VLOOKUP(D41,Anbar!$A$2:$C$5,3,FALSE)</f>
        <v>950</v>
      </c>
      <c r="N41">
        <f t="shared" si="0"/>
        <v>1900</v>
      </c>
      <c r="O41">
        <f t="shared" si="1"/>
        <v>700</v>
      </c>
      <c r="P41" t="str">
        <f>IF(AND(F41="Nağd",G41&gt;5),M41*0.9,"0%")</f>
        <v>0%</v>
      </c>
      <c r="Q41" s="9">
        <f>IF(F41="Kredit",EOMONTH(B41,0),"")</f>
        <v>46112</v>
      </c>
      <c r="R41" s="17" t="str">
        <f>TEXT(B41,"dddd")</f>
        <v>Sunday</v>
      </c>
    </row>
    <row r="42" spans="1:18">
      <c r="A42" s="5" t="s">
        <v>49</v>
      </c>
      <c r="B42" s="8">
        <v>46100</v>
      </c>
      <c r="C42" s="5" t="s">
        <v>6</v>
      </c>
      <c r="D42" s="5" t="s">
        <v>15</v>
      </c>
      <c r="E42" s="5" t="s">
        <v>966</v>
      </c>
      <c r="F42" s="5" t="s">
        <v>965</v>
      </c>
      <c r="G42" s="5">
        <v>6</v>
      </c>
      <c r="H42" s="5" t="s">
        <v>963</v>
      </c>
      <c r="I42" s="13">
        <v>553457430</v>
      </c>
      <c r="J42" s="10" t="s">
        <v>1025</v>
      </c>
      <c r="K42" t="str">
        <f>LEFT(C42,FIND(" ",C42)-1)&amp;"-"&amp;E42&amp;" "&amp;"Filialina çardırılma"</f>
        <v>Zaur-Bakı Filialina çardırılma</v>
      </c>
      <c r="L42">
        <f>VLOOKUP(D42,Anbar!$A$2:$B$5,2,FALSE)</f>
        <v>600</v>
      </c>
      <c r="M42">
        <f>VLOOKUP(D42,Anbar!$A$2:$C$5,3,FALSE)</f>
        <v>950</v>
      </c>
      <c r="N42">
        <f t="shared" si="0"/>
        <v>5700</v>
      </c>
      <c r="O42">
        <f t="shared" si="1"/>
        <v>2100</v>
      </c>
      <c r="P42">
        <f>IF(AND(F42="Nağd",G42&gt;5),M42*0.9,"0%")</f>
        <v>855</v>
      </c>
      <c r="Q42" s="9" t="str">
        <f>IF(F42="Kredit",EOMONTH(B42,0),"")</f>
        <v/>
      </c>
      <c r="R42" s="17" t="str">
        <f>TEXT(B42,"dddd")</f>
        <v>Thursday</v>
      </c>
    </row>
    <row r="43" spans="1:18">
      <c r="A43" s="5" t="s">
        <v>50</v>
      </c>
      <c r="B43" s="8">
        <v>46120</v>
      </c>
      <c r="C43" s="5" t="s">
        <v>976</v>
      </c>
      <c r="D43" s="5" t="s">
        <v>971</v>
      </c>
      <c r="E43" s="5" t="s">
        <v>982</v>
      </c>
      <c r="F43" s="5" t="s">
        <v>4</v>
      </c>
      <c r="G43" s="5">
        <v>10</v>
      </c>
      <c r="H43" s="5" t="s">
        <v>963</v>
      </c>
      <c r="I43" s="13">
        <v>557767170</v>
      </c>
      <c r="J43" s="10" t="s">
        <v>1026</v>
      </c>
      <c r="K43" t="str">
        <f>LEFT(C43,FIND(" ",C43)-1)&amp;"-"&amp;E43&amp;" "&amp;"Filialina çardırılma"</f>
        <v>Nərgin-Baki Filialina çardırılma</v>
      </c>
      <c r="L43">
        <f>VLOOKUP(D43,Anbar!$A$2:$B$5,2,FALSE)</f>
        <v>1200</v>
      </c>
      <c r="M43">
        <f>VLOOKUP(D43,Anbar!$A$2:$C$5,3,FALSE)</f>
        <v>1800</v>
      </c>
      <c r="N43">
        <f t="shared" si="0"/>
        <v>18000</v>
      </c>
      <c r="O43">
        <f t="shared" si="1"/>
        <v>6000</v>
      </c>
      <c r="P43" t="str">
        <f>IF(AND(F43="Nağd",G43&gt;5),M43*0.9,"0%")</f>
        <v>0%</v>
      </c>
      <c r="Q43" s="9">
        <f>IF(F43="Kredit",EOMONTH(B43,0),"")</f>
        <v>46142</v>
      </c>
      <c r="R43" s="17" t="str">
        <f>TEXT(B43,"dddd")</f>
        <v>Wednesday</v>
      </c>
    </row>
    <row r="44" spans="1:18">
      <c r="A44" s="5" t="s">
        <v>51</v>
      </c>
      <c r="B44" s="8">
        <v>46177</v>
      </c>
      <c r="C44" s="5" t="s">
        <v>6</v>
      </c>
      <c r="D44" s="5" t="s">
        <v>15</v>
      </c>
      <c r="E44" s="5" t="s">
        <v>980</v>
      </c>
      <c r="F44" s="5" t="s">
        <v>4</v>
      </c>
      <c r="G44" s="5">
        <v>5</v>
      </c>
      <c r="H44" s="5" t="s">
        <v>963</v>
      </c>
      <c r="I44" s="13">
        <v>772276773</v>
      </c>
      <c r="J44" s="10" t="s">
        <v>1027</v>
      </c>
      <c r="K44" t="str">
        <f>LEFT(C44,FIND(" ",C44)-1)&amp;"-"&amp;E44&amp;" "&amp;"Filialina çardırılma"</f>
        <v>Zaur-Sumqayit Filialina çardırılma</v>
      </c>
      <c r="L44">
        <f>VLOOKUP(D44,Anbar!$A$2:$B$5,2,FALSE)</f>
        <v>600</v>
      </c>
      <c r="M44">
        <f>VLOOKUP(D44,Anbar!$A$2:$C$5,3,FALSE)</f>
        <v>950</v>
      </c>
      <c r="N44">
        <f t="shared" si="0"/>
        <v>4750</v>
      </c>
      <c r="O44">
        <f t="shared" si="1"/>
        <v>1750</v>
      </c>
      <c r="P44" t="str">
        <f>IF(AND(F44="Nağd",G44&gt;5),M44*0.9,"0%")</f>
        <v>0%</v>
      </c>
      <c r="Q44" s="9">
        <f>IF(F44="Kredit",EOMONTH(B44,0),"")</f>
        <v>46203</v>
      </c>
      <c r="R44" s="17" t="str">
        <f>TEXT(B44,"dddd")</f>
        <v>Thursday</v>
      </c>
    </row>
    <row r="45" spans="1:18">
      <c r="A45" s="5" t="s">
        <v>52</v>
      </c>
      <c r="B45" s="8">
        <v>46075</v>
      </c>
      <c r="C45" s="5" t="s">
        <v>976</v>
      </c>
      <c r="D45" s="5" t="s">
        <v>15</v>
      </c>
      <c r="E45" s="5" t="s">
        <v>981</v>
      </c>
      <c r="F45" s="5" t="s">
        <v>7</v>
      </c>
      <c r="G45" s="5">
        <v>5</v>
      </c>
      <c r="H45" s="5" t="s">
        <v>963</v>
      </c>
      <c r="I45" s="13">
        <v>512561068</v>
      </c>
      <c r="J45" s="10" t="s">
        <v>1028</v>
      </c>
      <c r="K45" t="str">
        <f>LEFT(C45,FIND(" ",C45)-1)&amp;"-"&amp;E45&amp;" "&amp;"Filialina çardırılma"</f>
        <v>Nərgin-Gəncə Filialina çardırılma</v>
      </c>
      <c r="L45">
        <f>VLOOKUP(D45,Anbar!$A$2:$B$5,2,FALSE)</f>
        <v>600</v>
      </c>
      <c r="M45">
        <f>VLOOKUP(D45,Anbar!$A$2:$C$5,3,FALSE)</f>
        <v>950</v>
      </c>
      <c r="N45">
        <f t="shared" si="0"/>
        <v>4750</v>
      </c>
      <c r="O45">
        <f t="shared" si="1"/>
        <v>1750</v>
      </c>
      <c r="P45" t="str">
        <f>IF(AND(F45="Nağd",G45&gt;5),M45*0.9,"0%")</f>
        <v>0%</v>
      </c>
      <c r="Q45" s="9" t="str">
        <f>IF(F45="Kredit",EOMONTH(B45,0),"")</f>
        <v/>
      </c>
      <c r="R45" s="17" t="str">
        <f>TEXT(B45,"dddd")</f>
        <v>Sunday</v>
      </c>
    </row>
    <row r="46" spans="1:18">
      <c r="A46" s="5" t="s">
        <v>53</v>
      </c>
      <c r="B46" s="8">
        <v>46038</v>
      </c>
      <c r="C46" s="5" t="s">
        <v>967</v>
      </c>
      <c r="D46" s="5" t="s">
        <v>15</v>
      </c>
      <c r="E46" s="5" t="s">
        <v>980</v>
      </c>
      <c r="F46" s="5" t="s">
        <v>965</v>
      </c>
      <c r="G46" s="5">
        <v>2</v>
      </c>
      <c r="H46" s="5" t="s">
        <v>963</v>
      </c>
      <c r="I46" s="13">
        <v>514560683</v>
      </c>
      <c r="J46" s="10" t="s">
        <v>1029</v>
      </c>
      <c r="K46" t="str">
        <f>LEFT(C46,FIND(" ",C46)-1)&amp;"-"&amp;E46&amp;" "&amp;"Filialina çardırılma"</f>
        <v>Aysel-Sumqayit Filialina çardırılma</v>
      </c>
      <c r="L46">
        <f>VLOOKUP(D46,Anbar!$A$2:$B$5,2,FALSE)</f>
        <v>600</v>
      </c>
      <c r="M46">
        <f>VLOOKUP(D46,Anbar!$A$2:$C$5,3,FALSE)</f>
        <v>950</v>
      </c>
      <c r="N46">
        <f t="shared" si="0"/>
        <v>1900</v>
      </c>
      <c r="O46">
        <f t="shared" si="1"/>
        <v>700</v>
      </c>
      <c r="P46" t="str">
        <f>IF(AND(F46="Nağd",G46&gt;5),M46*0.9,"0%")</f>
        <v>0%</v>
      </c>
      <c r="Q46" s="9" t="str">
        <f>IF(F46="Kredit",EOMONTH(B46,0),"")</f>
        <v/>
      </c>
      <c r="R46" s="17" t="str">
        <f>TEXT(B46,"dddd")</f>
        <v>Friday</v>
      </c>
    </row>
    <row r="47" spans="1:18">
      <c r="A47" s="5" t="s">
        <v>54</v>
      </c>
      <c r="B47" s="8">
        <v>46168</v>
      </c>
      <c r="C47" s="5" t="s">
        <v>979</v>
      </c>
      <c r="D47" s="5" t="s">
        <v>971</v>
      </c>
      <c r="E47" s="5" t="s">
        <v>964</v>
      </c>
      <c r="F47" s="5" t="s">
        <v>965</v>
      </c>
      <c r="G47" s="5">
        <v>5</v>
      </c>
      <c r="H47" s="5" t="s">
        <v>963</v>
      </c>
      <c r="I47" s="13">
        <v>557512092</v>
      </c>
      <c r="J47" s="10" t="s">
        <v>1030</v>
      </c>
      <c r="K47" t="str">
        <f>LEFT(C47,FIND(" ",C47)-1)&amp;"-"&amp;E47&amp;" "&amp;"Filialina çardırılma"</f>
        <v>Leyla-Sumqayıt Filialina çardırılma</v>
      </c>
      <c r="L47">
        <f>VLOOKUP(D47,Anbar!$A$2:$B$5,2,FALSE)</f>
        <v>1200</v>
      </c>
      <c r="M47">
        <f>VLOOKUP(D47,Anbar!$A$2:$C$5,3,FALSE)</f>
        <v>1800</v>
      </c>
      <c r="N47">
        <f t="shared" si="0"/>
        <v>9000</v>
      </c>
      <c r="O47">
        <f t="shared" si="1"/>
        <v>3000</v>
      </c>
      <c r="P47" t="str">
        <f>IF(AND(F47="Nağd",G47&gt;5),M47*0.9,"0%")</f>
        <v>0%</v>
      </c>
      <c r="Q47" s="9" t="str">
        <f>IF(F47="Kredit",EOMONTH(B47,0),"")</f>
        <v/>
      </c>
      <c r="R47" s="17" t="str">
        <f>TEXT(B47,"dddd")</f>
        <v>Tuesday</v>
      </c>
    </row>
    <row r="48" spans="1:18">
      <c r="A48" s="5" t="s">
        <v>55</v>
      </c>
      <c r="B48" s="8">
        <v>46147</v>
      </c>
      <c r="C48" s="5" t="s">
        <v>975</v>
      </c>
      <c r="D48" s="5" t="s">
        <v>971</v>
      </c>
      <c r="E48" s="5" t="s">
        <v>9</v>
      </c>
      <c r="F48" s="5" t="s">
        <v>4</v>
      </c>
      <c r="G48" s="5">
        <v>4</v>
      </c>
      <c r="H48" s="5" t="s">
        <v>963</v>
      </c>
      <c r="I48" s="13">
        <v>510445031</v>
      </c>
      <c r="J48" s="10" t="s">
        <v>1031</v>
      </c>
      <c r="K48" t="str">
        <f>LEFT(C48,FIND(" ",C48)-1)&amp;"-"&amp;E48&amp;" "&amp;"Filialina çardırılma"</f>
        <v>Murad-Gence Filialina çardırılma</v>
      </c>
      <c r="L48">
        <f>VLOOKUP(D48,Anbar!$A$2:$B$5,2,FALSE)</f>
        <v>1200</v>
      </c>
      <c r="M48">
        <f>VLOOKUP(D48,Anbar!$A$2:$C$5,3,FALSE)</f>
        <v>1800</v>
      </c>
      <c r="N48">
        <f t="shared" si="0"/>
        <v>7200</v>
      </c>
      <c r="O48">
        <f t="shared" si="1"/>
        <v>2400</v>
      </c>
      <c r="P48" t="str">
        <f>IF(AND(F48="Nağd",G48&gt;5),M48*0.9,"0%")</f>
        <v>0%</v>
      </c>
      <c r="Q48" s="9">
        <f>IF(F48="Kredit",EOMONTH(B48,0),"")</f>
        <v>46173</v>
      </c>
      <c r="R48" s="17" t="str">
        <f>TEXT(B48,"dddd")</f>
        <v>Tuesday</v>
      </c>
    </row>
    <row r="49" spans="1:18">
      <c r="A49" s="5" t="s">
        <v>56</v>
      </c>
      <c r="B49" s="8">
        <v>46102</v>
      </c>
      <c r="C49" s="5" t="s">
        <v>979</v>
      </c>
      <c r="D49" s="5" t="s">
        <v>15</v>
      </c>
      <c r="E49" s="5" t="s">
        <v>981</v>
      </c>
      <c r="F49" s="5" t="s">
        <v>4</v>
      </c>
      <c r="G49" s="5">
        <v>10</v>
      </c>
      <c r="H49" s="5" t="s">
        <v>963</v>
      </c>
      <c r="I49" s="13">
        <v>701936577</v>
      </c>
      <c r="J49" s="10" t="s">
        <v>1032</v>
      </c>
      <c r="K49" t="str">
        <f>LEFT(C49,FIND(" ",C49)-1)&amp;"-"&amp;E49&amp;" "&amp;"Filialina çardırılma"</f>
        <v>Leyla-Gəncə Filialina çardırılma</v>
      </c>
      <c r="L49">
        <f>VLOOKUP(D49,Anbar!$A$2:$B$5,2,FALSE)</f>
        <v>600</v>
      </c>
      <c r="M49">
        <f>VLOOKUP(D49,Anbar!$A$2:$C$5,3,FALSE)</f>
        <v>950</v>
      </c>
      <c r="N49">
        <f t="shared" si="0"/>
        <v>9500</v>
      </c>
      <c r="O49">
        <f t="shared" si="1"/>
        <v>3500</v>
      </c>
      <c r="P49" t="str">
        <f>IF(AND(F49="Nağd",G49&gt;5),M49*0.9,"0%")</f>
        <v>0%</v>
      </c>
      <c r="Q49" s="9">
        <f>IF(F49="Kredit",EOMONTH(B49,0),"")</f>
        <v>46112</v>
      </c>
      <c r="R49" s="17" t="str">
        <f>TEXT(B49,"dddd")</f>
        <v>Saturday</v>
      </c>
    </row>
    <row r="50" spans="1:18">
      <c r="A50" s="5" t="s">
        <v>57</v>
      </c>
      <c r="B50" s="8">
        <v>46076</v>
      </c>
      <c r="C50" s="5" t="s">
        <v>967</v>
      </c>
      <c r="D50" s="5" t="s">
        <v>968</v>
      </c>
      <c r="E50" s="5" t="s">
        <v>964</v>
      </c>
      <c r="F50" s="5" t="s">
        <v>4</v>
      </c>
      <c r="G50" s="5">
        <v>1</v>
      </c>
      <c r="H50" s="5" t="s">
        <v>963</v>
      </c>
      <c r="I50" s="13">
        <v>514395540</v>
      </c>
      <c r="J50" s="10" t="s">
        <v>1033</v>
      </c>
      <c r="K50" t="str">
        <f>LEFT(C50,FIND(" ",C50)-1)&amp;"-"&amp;E50&amp;" "&amp;"Filialina çardırılma"</f>
        <v>Aysel-Sumqayıt Filialina çardırılma</v>
      </c>
      <c r="L50">
        <f>VLOOKUP(D50,Anbar!$A$2:$B$5,2,FALSE)</f>
        <v>400</v>
      </c>
      <c r="M50">
        <f>VLOOKUP(D50,Anbar!$A$2:$C$5,3,FALSE)</f>
        <v>650</v>
      </c>
      <c r="N50">
        <f t="shared" si="0"/>
        <v>650</v>
      </c>
      <c r="O50">
        <f t="shared" si="1"/>
        <v>250</v>
      </c>
      <c r="P50" t="str">
        <f>IF(AND(F50="Nağd",G50&gt;5),M50*0.9,"0%")</f>
        <v>0%</v>
      </c>
      <c r="Q50" s="9">
        <f>IF(F50="Kredit",EOMONTH(B50,0),"")</f>
        <v>46081</v>
      </c>
      <c r="R50" s="17" t="str">
        <f>TEXT(B50,"dddd")</f>
        <v>Monday</v>
      </c>
    </row>
    <row r="51" spans="1:18">
      <c r="A51" s="5" t="s">
        <v>58</v>
      </c>
      <c r="B51" s="8">
        <v>46146</v>
      </c>
      <c r="C51" s="5" t="s">
        <v>979</v>
      </c>
      <c r="D51" s="5" t="s">
        <v>20</v>
      </c>
      <c r="E51" s="5" t="s">
        <v>980</v>
      </c>
      <c r="F51" s="5" t="s">
        <v>4</v>
      </c>
      <c r="G51" s="5">
        <v>4</v>
      </c>
      <c r="H51" s="5" t="s">
        <v>963</v>
      </c>
      <c r="I51" s="13">
        <v>506744372</v>
      </c>
      <c r="J51" s="10" t="s">
        <v>1034</v>
      </c>
      <c r="K51" t="str">
        <f>LEFT(C51,FIND(" ",C51)-1)&amp;"-"&amp;E51&amp;" "&amp;"Filialina çardırılma"</f>
        <v>Leyla-Sumqayit Filialina çardırılma</v>
      </c>
      <c r="L51">
        <f>VLOOKUP(D51,Anbar!$A$2:$B$5,2,FALSE)</f>
        <v>15</v>
      </c>
      <c r="M51">
        <f>VLOOKUP(D51,Anbar!$A$2:$C$5,3,FALSE)</f>
        <v>45</v>
      </c>
      <c r="N51">
        <f t="shared" si="0"/>
        <v>180</v>
      </c>
      <c r="O51">
        <f t="shared" si="1"/>
        <v>120</v>
      </c>
      <c r="P51" t="str">
        <f>IF(AND(F51="Nağd",G51&gt;5),M51*0.9,"0%")</f>
        <v>0%</v>
      </c>
      <c r="Q51" s="9">
        <f>IF(F51="Kredit",EOMONTH(B51,0),"")</f>
        <v>46173</v>
      </c>
      <c r="R51" s="17" t="str">
        <f>TEXT(B51,"dddd")</f>
        <v>Monday</v>
      </c>
    </row>
    <row r="52" spans="1:18">
      <c r="A52" s="5" t="s">
        <v>59</v>
      </c>
      <c r="B52" s="8">
        <v>46059</v>
      </c>
      <c r="C52" s="5" t="s">
        <v>976</v>
      </c>
      <c r="D52" s="5" t="s">
        <v>15</v>
      </c>
      <c r="E52" s="5" t="s">
        <v>980</v>
      </c>
      <c r="F52" s="5" t="s">
        <v>4</v>
      </c>
      <c r="G52" s="5">
        <v>4</v>
      </c>
      <c r="H52" s="5" t="s">
        <v>963</v>
      </c>
      <c r="I52" s="13">
        <v>772488443</v>
      </c>
      <c r="J52" s="10" t="s">
        <v>1035</v>
      </c>
      <c r="K52" t="str">
        <f>LEFT(C52,FIND(" ",C52)-1)&amp;"-"&amp;E52&amp;" "&amp;"Filialina çardırılma"</f>
        <v>Nərgin-Sumqayit Filialina çardırılma</v>
      </c>
      <c r="L52">
        <f>VLOOKUP(D52,Anbar!$A$2:$B$5,2,FALSE)</f>
        <v>600</v>
      </c>
      <c r="M52">
        <f>VLOOKUP(D52,Anbar!$A$2:$C$5,3,FALSE)</f>
        <v>950</v>
      </c>
      <c r="N52">
        <f t="shared" si="0"/>
        <v>3800</v>
      </c>
      <c r="O52">
        <f t="shared" si="1"/>
        <v>1400</v>
      </c>
      <c r="P52" t="str">
        <f>IF(AND(F52="Nağd",G52&gt;5),M52*0.9,"0%")</f>
        <v>0%</v>
      </c>
      <c r="Q52" s="9">
        <f>IF(F52="Kredit",EOMONTH(B52,0),"")</f>
        <v>46081</v>
      </c>
      <c r="R52" s="17" t="str">
        <f>TEXT(B52,"dddd")</f>
        <v>Friday</v>
      </c>
    </row>
    <row r="53" spans="1:18">
      <c r="A53" s="5" t="s">
        <v>60</v>
      </c>
      <c r="B53" s="8">
        <v>46048</v>
      </c>
      <c r="C53" s="5" t="s">
        <v>975</v>
      </c>
      <c r="D53" s="5" t="s">
        <v>20</v>
      </c>
      <c r="E53" s="5" t="s">
        <v>9</v>
      </c>
      <c r="F53" s="5" t="s">
        <v>4</v>
      </c>
      <c r="G53" s="5">
        <v>5</v>
      </c>
      <c r="H53" s="5" t="s">
        <v>963</v>
      </c>
      <c r="I53" s="13">
        <v>702029363</v>
      </c>
      <c r="J53" s="10" t="s">
        <v>1036</v>
      </c>
      <c r="K53" t="str">
        <f>LEFT(C53,FIND(" ",C53)-1)&amp;"-"&amp;E53&amp;" "&amp;"Filialina çardırılma"</f>
        <v>Murad-Gence Filialina çardırılma</v>
      </c>
      <c r="L53">
        <f>VLOOKUP(D53,Anbar!$A$2:$B$5,2,FALSE)</f>
        <v>15</v>
      </c>
      <c r="M53">
        <f>VLOOKUP(D53,Anbar!$A$2:$C$5,3,FALSE)</f>
        <v>45</v>
      </c>
      <c r="N53">
        <f t="shared" si="0"/>
        <v>225</v>
      </c>
      <c r="O53">
        <f t="shared" si="1"/>
        <v>150</v>
      </c>
      <c r="P53" t="str">
        <f>IF(AND(F53="Nağd",G53&gt;5),M53*0.9,"0%")</f>
        <v>0%</v>
      </c>
      <c r="Q53" s="9">
        <f>IF(F53="Kredit",EOMONTH(B53,0),"")</f>
        <v>46053</v>
      </c>
      <c r="R53" s="17" t="str">
        <f>TEXT(B53,"dddd")</f>
        <v>Monday</v>
      </c>
    </row>
    <row r="54" spans="1:18">
      <c r="A54" s="5" t="s">
        <v>61</v>
      </c>
      <c r="B54" s="8">
        <v>46119</v>
      </c>
      <c r="C54" s="5" t="s">
        <v>6</v>
      </c>
      <c r="D54" s="5" t="s">
        <v>968</v>
      </c>
      <c r="E54" s="5" t="s">
        <v>966</v>
      </c>
      <c r="F54" s="5" t="s">
        <v>4</v>
      </c>
      <c r="G54" s="5">
        <v>1</v>
      </c>
      <c r="H54" s="5" t="s">
        <v>963</v>
      </c>
      <c r="I54" s="13">
        <v>516560012</v>
      </c>
      <c r="J54" s="10" t="s">
        <v>1037</v>
      </c>
      <c r="K54" t="str">
        <f>LEFT(C54,FIND(" ",C54)-1)&amp;"-"&amp;E54&amp;" "&amp;"Filialina çardırılma"</f>
        <v>Zaur-Bakı Filialina çardırılma</v>
      </c>
      <c r="L54">
        <f>VLOOKUP(D54,Anbar!$A$2:$B$5,2,FALSE)</f>
        <v>400</v>
      </c>
      <c r="M54">
        <f>VLOOKUP(D54,Anbar!$A$2:$C$5,3,FALSE)</f>
        <v>650</v>
      </c>
      <c r="N54">
        <f t="shared" si="0"/>
        <v>650</v>
      </c>
      <c r="O54">
        <f t="shared" si="1"/>
        <v>250</v>
      </c>
      <c r="P54" t="str">
        <f>IF(AND(F54="Nağd",G54&gt;5),M54*0.9,"0%")</f>
        <v>0%</v>
      </c>
      <c r="Q54" s="9">
        <f>IF(F54="Kredit",EOMONTH(B54,0),"")</f>
        <v>46142</v>
      </c>
      <c r="R54" s="17" t="str">
        <f>TEXT(B54,"dddd")</f>
        <v>Tuesday</v>
      </c>
    </row>
    <row r="55" spans="1:18">
      <c r="A55" s="5" t="s">
        <v>62</v>
      </c>
      <c r="B55" s="8">
        <v>46164</v>
      </c>
      <c r="C55" s="5" t="s">
        <v>967</v>
      </c>
      <c r="D55" s="5" t="s">
        <v>15</v>
      </c>
      <c r="E55" s="5" t="s">
        <v>982</v>
      </c>
      <c r="F55" s="5" t="s">
        <v>4</v>
      </c>
      <c r="G55" s="5">
        <v>3</v>
      </c>
      <c r="H55" s="5" t="s">
        <v>963</v>
      </c>
      <c r="I55" s="13">
        <v>510216932</v>
      </c>
      <c r="J55" s="10" t="s">
        <v>1038</v>
      </c>
      <c r="K55" t="str">
        <f>LEFT(C55,FIND(" ",C55)-1)&amp;"-"&amp;E55&amp;" "&amp;"Filialina çardırılma"</f>
        <v>Aysel-Baki Filialina çardırılma</v>
      </c>
      <c r="L55">
        <f>VLOOKUP(D55,Anbar!$A$2:$B$5,2,FALSE)</f>
        <v>600</v>
      </c>
      <c r="M55">
        <f>VLOOKUP(D55,Anbar!$A$2:$C$5,3,FALSE)</f>
        <v>950</v>
      </c>
      <c r="N55">
        <f t="shared" si="0"/>
        <v>2850</v>
      </c>
      <c r="O55">
        <f t="shared" si="1"/>
        <v>1050</v>
      </c>
      <c r="P55" t="str">
        <f>IF(AND(F55="Nağd",G55&gt;5),M55*0.9,"0%")</f>
        <v>0%</v>
      </c>
      <c r="Q55" s="9">
        <f>IF(F55="Kredit",EOMONTH(B55,0),"")</f>
        <v>46173</v>
      </c>
      <c r="R55" s="17" t="str">
        <f>TEXT(B55,"dddd")</f>
        <v>Friday</v>
      </c>
    </row>
    <row r="56" spans="1:18">
      <c r="A56" s="5" t="s">
        <v>63</v>
      </c>
      <c r="B56" s="8">
        <v>46045</v>
      </c>
      <c r="C56" s="5" t="s">
        <v>979</v>
      </c>
      <c r="D56" s="5" t="s">
        <v>20</v>
      </c>
      <c r="E56" s="5" t="s">
        <v>964</v>
      </c>
      <c r="F56" s="5" t="s">
        <v>4</v>
      </c>
      <c r="G56" s="5">
        <v>4</v>
      </c>
      <c r="H56" s="5" t="s">
        <v>963</v>
      </c>
      <c r="I56" s="13">
        <v>770382638</v>
      </c>
      <c r="J56" s="10" t="s">
        <v>1039</v>
      </c>
      <c r="K56" t="str">
        <f>LEFT(C56,FIND(" ",C56)-1)&amp;"-"&amp;E56&amp;" "&amp;"Filialina çardırılma"</f>
        <v>Leyla-Sumqayıt Filialina çardırılma</v>
      </c>
      <c r="L56">
        <f>VLOOKUP(D56,Anbar!$A$2:$B$5,2,FALSE)</f>
        <v>15</v>
      </c>
      <c r="M56">
        <f>VLOOKUP(D56,Anbar!$A$2:$C$5,3,FALSE)</f>
        <v>45</v>
      </c>
      <c r="N56">
        <f t="shared" si="0"/>
        <v>180</v>
      </c>
      <c r="O56">
        <f t="shared" si="1"/>
        <v>120</v>
      </c>
      <c r="P56" t="str">
        <f>IF(AND(F56="Nağd",G56&gt;5),M56*0.9,"0%")</f>
        <v>0%</v>
      </c>
      <c r="Q56" s="9">
        <f>IF(F56="Kredit",EOMONTH(B56,0),"")</f>
        <v>46053</v>
      </c>
      <c r="R56" s="17" t="str">
        <f>TEXT(B56,"dddd")</f>
        <v>Friday</v>
      </c>
    </row>
    <row r="57" spans="1:18">
      <c r="A57" s="5" t="s">
        <v>64</v>
      </c>
      <c r="B57" s="8">
        <v>46144</v>
      </c>
      <c r="C57" s="5" t="s">
        <v>967</v>
      </c>
      <c r="D57" s="5" t="s">
        <v>20</v>
      </c>
      <c r="E57" s="5" t="s">
        <v>982</v>
      </c>
      <c r="F57" s="5" t="s">
        <v>965</v>
      </c>
      <c r="G57" s="5">
        <v>9</v>
      </c>
      <c r="H57" s="5" t="s">
        <v>963</v>
      </c>
      <c r="I57" s="13">
        <v>779856416</v>
      </c>
      <c r="J57" s="10" t="s">
        <v>1040</v>
      </c>
      <c r="K57" t="str">
        <f>LEFT(C57,FIND(" ",C57)-1)&amp;"-"&amp;E57&amp;" "&amp;"Filialina çardırılma"</f>
        <v>Aysel-Baki Filialina çardırılma</v>
      </c>
      <c r="L57">
        <f>VLOOKUP(D57,Anbar!$A$2:$B$5,2,FALSE)</f>
        <v>15</v>
      </c>
      <c r="M57">
        <f>VLOOKUP(D57,Anbar!$A$2:$C$5,3,FALSE)</f>
        <v>45</v>
      </c>
      <c r="N57">
        <f t="shared" si="0"/>
        <v>405</v>
      </c>
      <c r="O57">
        <f t="shared" si="1"/>
        <v>270</v>
      </c>
      <c r="P57">
        <f>IF(AND(F57="Nağd",G57&gt;5),M57*0.9,"0%")</f>
        <v>40.5</v>
      </c>
      <c r="Q57" s="9" t="str">
        <f>IF(F57="Kredit",EOMONTH(B57,0),"")</f>
        <v/>
      </c>
      <c r="R57" s="17" t="str">
        <f>TEXT(B57,"dddd")</f>
        <v>Saturday</v>
      </c>
    </row>
    <row r="58" spans="1:18">
      <c r="A58" s="5" t="s">
        <v>65</v>
      </c>
      <c r="B58" s="8">
        <v>46092</v>
      </c>
      <c r="C58" s="5" t="s">
        <v>976</v>
      </c>
      <c r="D58" s="5" t="s">
        <v>971</v>
      </c>
      <c r="E58" s="5" t="s">
        <v>964</v>
      </c>
      <c r="F58" s="5" t="s">
        <v>965</v>
      </c>
      <c r="G58" s="5">
        <v>10</v>
      </c>
      <c r="H58" s="5" t="s">
        <v>963</v>
      </c>
      <c r="I58" s="13">
        <v>514290665</v>
      </c>
      <c r="J58" s="10" t="s">
        <v>1041</v>
      </c>
      <c r="K58" t="str">
        <f>LEFT(C58,FIND(" ",C58)-1)&amp;"-"&amp;E58&amp;" "&amp;"Filialina çardırılma"</f>
        <v>Nərgin-Sumqayıt Filialina çardırılma</v>
      </c>
      <c r="L58">
        <f>VLOOKUP(D58,Anbar!$A$2:$B$5,2,FALSE)</f>
        <v>1200</v>
      </c>
      <c r="M58">
        <f>VLOOKUP(D58,Anbar!$A$2:$C$5,3,FALSE)</f>
        <v>1800</v>
      </c>
      <c r="N58">
        <f t="shared" si="0"/>
        <v>18000</v>
      </c>
      <c r="O58">
        <f t="shared" si="1"/>
        <v>6000</v>
      </c>
      <c r="P58">
        <f>IF(AND(F58="Nağd",G58&gt;5),M58*0.9,"0%")</f>
        <v>1620</v>
      </c>
      <c r="Q58" s="9" t="str">
        <f>IF(F58="Kredit",EOMONTH(B58,0),"")</f>
        <v/>
      </c>
      <c r="R58" s="17" t="str">
        <f>TEXT(B58,"dddd")</f>
        <v>Wednesday</v>
      </c>
    </row>
    <row r="59" spans="1:18">
      <c r="A59" s="5" t="s">
        <v>66</v>
      </c>
      <c r="B59" s="8">
        <v>46141</v>
      </c>
      <c r="C59" s="5" t="s">
        <v>974</v>
      </c>
      <c r="D59" s="5" t="s">
        <v>971</v>
      </c>
      <c r="E59" s="5" t="s">
        <v>964</v>
      </c>
      <c r="F59" s="5" t="s">
        <v>7</v>
      </c>
      <c r="G59" s="5">
        <v>2</v>
      </c>
      <c r="H59" s="5" t="s">
        <v>963</v>
      </c>
      <c r="I59" s="13">
        <v>513257255</v>
      </c>
      <c r="J59" s="10" t="s">
        <v>1042</v>
      </c>
      <c r="K59" t="str">
        <f>LEFT(C59,FIND(" ",C59)-1)&amp;"-"&amp;E59&amp;" "&amp;"Filialina çardırılma"</f>
        <v>Ramil-Sumqayıt Filialina çardırılma</v>
      </c>
      <c r="L59">
        <f>VLOOKUP(D59,Anbar!$A$2:$B$5,2,FALSE)</f>
        <v>1200</v>
      </c>
      <c r="M59">
        <f>VLOOKUP(D59,Anbar!$A$2:$C$5,3,FALSE)</f>
        <v>1800</v>
      </c>
      <c r="N59">
        <f t="shared" si="0"/>
        <v>3600</v>
      </c>
      <c r="O59">
        <f t="shared" si="1"/>
        <v>1200</v>
      </c>
      <c r="P59" t="str">
        <f>IF(AND(F59="Nağd",G59&gt;5),M59*0.9,"0%")</f>
        <v>0%</v>
      </c>
      <c r="Q59" s="9" t="str">
        <f>IF(F59="Kredit",EOMONTH(B59,0),"")</f>
        <v/>
      </c>
      <c r="R59" s="17" t="str">
        <f>TEXT(B59,"dddd")</f>
        <v>Wednesday</v>
      </c>
    </row>
    <row r="60" spans="1:18">
      <c r="A60" s="5" t="s">
        <v>67</v>
      </c>
      <c r="B60" s="8">
        <v>46138</v>
      </c>
      <c r="C60" s="5" t="s">
        <v>976</v>
      </c>
      <c r="D60" s="5" t="s">
        <v>15</v>
      </c>
      <c r="E60" s="5" t="s">
        <v>981</v>
      </c>
      <c r="F60" s="5" t="s">
        <v>4</v>
      </c>
      <c r="G60" s="5">
        <v>8</v>
      </c>
      <c r="H60" s="5" t="s">
        <v>963</v>
      </c>
      <c r="I60" s="13">
        <v>704419156</v>
      </c>
      <c r="J60" s="10" t="s">
        <v>1043</v>
      </c>
      <c r="K60" t="str">
        <f>LEFT(C60,FIND(" ",C60)-1)&amp;"-"&amp;E60&amp;" "&amp;"Filialina çardırılma"</f>
        <v>Nərgin-Gəncə Filialina çardırılma</v>
      </c>
      <c r="L60">
        <f>VLOOKUP(D60,Anbar!$A$2:$B$5,2,FALSE)</f>
        <v>600</v>
      </c>
      <c r="M60">
        <f>VLOOKUP(D60,Anbar!$A$2:$C$5,3,FALSE)</f>
        <v>950</v>
      </c>
      <c r="N60">
        <f t="shared" si="0"/>
        <v>7600</v>
      </c>
      <c r="O60">
        <f t="shared" si="1"/>
        <v>2800</v>
      </c>
      <c r="P60" t="str">
        <f>IF(AND(F60="Nağd",G60&gt;5),M60*0.9,"0%")</f>
        <v>0%</v>
      </c>
      <c r="Q60" s="9">
        <f>IF(F60="Kredit",EOMONTH(B60,0),"")</f>
        <v>46142</v>
      </c>
      <c r="R60" s="17" t="str">
        <f>TEXT(B60,"dddd")</f>
        <v>Sunday</v>
      </c>
    </row>
    <row r="61" spans="1:18">
      <c r="A61" s="5" t="s">
        <v>68</v>
      </c>
      <c r="B61" s="8">
        <v>46168</v>
      </c>
      <c r="C61" s="5" t="s">
        <v>967</v>
      </c>
      <c r="D61" s="5" t="s">
        <v>20</v>
      </c>
      <c r="E61" s="5" t="s">
        <v>981</v>
      </c>
      <c r="F61" s="5" t="s">
        <v>983</v>
      </c>
      <c r="G61" s="5">
        <v>5</v>
      </c>
      <c r="H61" s="5" t="s">
        <v>963</v>
      </c>
      <c r="I61" s="13">
        <v>555041139</v>
      </c>
      <c r="J61" s="10" t="s">
        <v>1044</v>
      </c>
      <c r="K61" t="str">
        <f>LEFT(C61,FIND(" ",C61)-1)&amp;"-"&amp;E61&amp;" "&amp;"Filialina çardırılma"</f>
        <v>Aysel-Gəncə Filialina çardırılma</v>
      </c>
      <c r="L61">
        <f>VLOOKUP(D61,Anbar!$A$2:$B$5,2,FALSE)</f>
        <v>15</v>
      </c>
      <c r="M61">
        <f>VLOOKUP(D61,Anbar!$A$2:$C$5,3,FALSE)</f>
        <v>45</v>
      </c>
      <c r="N61">
        <f t="shared" si="0"/>
        <v>225</v>
      </c>
      <c r="O61">
        <f t="shared" si="1"/>
        <v>150</v>
      </c>
      <c r="P61" t="str">
        <f>IF(AND(F61="Nağd",G61&gt;5),M61*0.9,"0%")</f>
        <v>0%</v>
      </c>
      <c r="Q61" s="9" t="str">
        <f>IF(F61="Kredit",EOMONTH(B61,0),"")</f>
        <v/>
      </c>
      <c r="R61" s="17" t="str">
        <f>TEXT(B61,"dddd")</f>
        <v>Tuesday</v>
      </c>
    </row>
    <row r="62" spans="1:18">
      <c r="A62" s="5" t="s">
        <v>69</v>
      </c>
      <c r="B62" s="8">
        <v>46157</v>
      </c>
      <c r="C62" s="5" t="s">
        <v>976</v>
      </c>
      <c r="D62" s="5" t="s">
        <v>20</v>
      </c>
      <c r="E62" s="5" t="s">
        <v>981</v>
      </c>
      <c r="F62" s="5" t="s">
        <v>965</v>
      </c>
      <c r="G62" s="5">
        <v>6</v>
      </c>
      <c r="H62" s="5" t="s">
        <v>963</v>
      </c>
      <c r="I62" s="13">
        <v>559215353</v>
      </c>
      <c r="J62" s="10" t="s">
        <v>1045</v>
      </c>
      <c r="K62" t="str">
        <f>LEFT(C62,FIND(" ",C62)-1)&amp;"-"&amp;E62&amp;" "&amp;"Filialina çardırılma"</f>
        <v>Nərgin-Gəncə Filialina çardırılma</v>
      </c>
      <c r="L62">
        <f>VLOOKUP(D62,Anbar!$A$2:$B$5,2,FALSE)</f>
        <v>15</v>
      </c>
      <c r="M62">
        <f>VLOOKUP(D62,Anbar!$A$2:$C$5,3,FALSE)</f>
        <v>45</v>
      </c>
      <c r="N62">
        <f t="shared" si="0"/>
        <v>270</v>
      </c>
      <c r="O62">
        <f t="shared" si="1"/>
        <v>180</v>
      </c>
      <c r="P62">
        <f>IF(AND(F62="Nağd",G62&gt;5),M62*0.9,"0%")</f>
        <v>40.5</v>
      </c>
      <c r="Q62" s="9" t="str">
        <f>IF(F62="Kredit",EOMONTH(B62,0),"")</f>
        <v/>
      </c>
      <c r="R62" s="17" t="str">
        <f>TEXT(B62,"dddd")</f>
        <v>Friday</v>
      </c>
    </row>
    <row r="63" spans="1:18">
      <c r="A63" s="5" t="s">
        <v>70</v>
      </c>
      <c r="B63" s="8">
        <v>46032</v>
      </c>
      <c r="C63" s="5" t="s">
        <v>978</v>
      </c>
      <c r="D63" s="5" t="s">
        <v>15</v>
      </c>
      <c r="E63" s="5" t="s">
        <v>9</v>
      </c>
      <c r="F63" s="5" t="s">
        <v>7</v>
      </c>
      <c r="G63" s="5">
        <v>7</v>
      </c>
      <c r="H63" s="5" t="s">
        <v>963</v>
      </c>
      <c r="I63" s="13">
        <v>555301117</v>
      </c>
      <c r="J63" s="10" t="s">
        <v>1046</v>
      </c>
      <c r="K63" t="str">
        <f>LEFT(C63,FIND(" ",C63)-1)&amp;"-"&amp;E63&amp;" "&amp;"Filialina çardırılma"</f>
        <v>Əli-Gence Filialina çardırılma</v>
      </c>
      <c r="L63">
        <f>VLOOKUP(D63,Anbar!$A$2:$B$5,2,FALSE)</f>
        <v>600</v>
      </c>
      <c r="M63">
        <f>VLOOKUP(D63,Anbar!$A$2:$C$5,3,FALSE)</f>
        <v>950</v>
      </c>
      <c r="N63">
        <f t="shared" si="0"/>
        <v>6650</v>
      </c>
      <c r="O63">
        <f t="shared" si="1"/>
        <v>2450</v>
      </c>
      <c r="P63" t="str">
        <f>IF(AND(F63="Nağd",G63&gt;5),M63*0.9,"0%")</f>
        <v>0%</v>
      </c>
      <c r="Q63" s="9" t="str">
        <f>IF(F63="Kredit",EOMONTH(B63,0),"")</f>
        <v/>
      </c>
      <c r="R63" s="17" t="str">
        <f>TEXT(B63,"dddd")</f>
        <v>Saturday</v>
      </c>
    </row>
    <row r="64" spans="1:18">
      <c r="A64" s="5" t="s">
        <v>71</v>
      </c>
      <c r="B64" s="8">
        <v>46050</v>
      </c>
      <c r="C64" s="5" t="s">
        <v>979</v>
      </c>
      <c r="D64" s="5" t="s">
        <v>968</v>
      </c>
      <c r="E64" s="5" t="s">
        <v>964</v>
      </c>
      <c r="F64" s="5" t="s">
        <v>4</v>
      </c>
      <c r="G64" s="5">
        <v>1</v>
      </c>
      <c r="H64" s="5" t="s">
        <v>963</v>
      </c>
      <c r="I64" s="13">
        <v>779506326</v>
      </c>
      <c r="J64" s="10" t="s">
        <v>1047</v>
      </c>
      <c r="K64" t="str">
        <f>LEFT(C64,FIND(" ",C64)-1)&amp;"-"&amp;E64&amp;" "&amp;"Filialina çardırılma"</f>
        <v>Leyla-Sumqayıt Filialina çardırılma</v>
      </c>
      <c r="L64">
        <f>VLOOKUP(D64,Anbar!$A$2:$B$5,2,FALSE)</f>
        <v>400</v>
      </c>
      <c r="M64">
        <f>VLOOKUP(D64,Anbar!$A$2:$C$5,3,FALSE)</f>
        <v>650</v>
      </c>
      <c r="N64">
        <f t="shared" si="0"/>
        <v>650</v>
      </c>
      <c r="O64">
        <f t="shared" si="1"/>
        <v>250</v>
      </c>
      <c r="P64" t="str">
        <f>IF(AND(F64="Nağd",G64&gt;5),M64*0.9,"0%")</f>
        <v>0%</v>
      </c>
      <c r="Q64" s="9">
        <f>IF(F64="Kredit",EOMONTH(B64,0),"")</f>
        <v>46053</v>
      </c>
      <c r="R64" s="17" t="str">
        <f>TEXT(B64,"dddd")</f>
        <v>Wednesday</v>
      </c>
    </row>
    <row r="65" spans="1:18">
      <c r="A65" s="5" t="s">
        <v>72</v>
      </c>
      <c r="B65" s="8">
        <v>46120</v>
      </c>
      <c r="C65" s="5" t="s">
        <v>967</v>
      </c>
      <c r="D65" s="5" t="s">
        <v>20</v>
      </c>
      <c r="E65" s="5" t="s">
        <v>981</v>
      </c>
      <c r="F65" s="5" t="s">
        <v>965</v>
      </c>
      <c r="G65" s="5">
        <v>6</v>
      </c>
      <c r="H65" s="5" t="s">
        <v>963</v>
      </c>
      <c r="I65" s="13">
        <v>705713079</v>
      </c>
      <c r="J65" s="10" t="s">
        <v>1048</v>
      </c>
      <c r="K65" t="str">
        <f>LEFT(C65,FIND(" ",C65)-1)&amp;"-"&amp;E65&amp;" "&amp;"Filialina çardırılma"</f>
        <v>Aysel-Gəncə Filialina çardırılma</v>
      </c>
      <c r="L65">
        <f>VLOOKUP(D65,Anbar!$A$2:$B$5,2,FALSE)</f>
        <v>15</v>
      </c>
      <c r="M65">
        <f>VLOOKUP(D65,Anbar!$A$2:$C$5,3,FALSE)</f>
        <v>45</v>
      </c>
      <c r="N65">
        <f t="shared" si="0"/>
        <v>270</v>
      </c>
      <c r="O65">
        <f t="shared" si="1"/>
        <v>180</v>
      </c>
      <c r="P65">
        <f>IF(AND(F65="Nağd",G65&gt;5),M65*0.9,"0%")</f>
        <v>40.5</v>
      </c>
      <c r="Q65" s="9" t="str">
        <f>IF(F65="Kredit",EOMONTH(B65,0),"")</f>
        <v/>
      </c>
      <c r="R65" s="17" t="str">
        <f>TEXT(B65,"dddd")</f>
        <v>Wednesday</v>
      </c>
    </row>
    <row r="66" spans="1:18">
      <c r="A66" s="5" t="s">
        <v>73</v>
      </c>
      <c r="B66" s="8">
        <v>46045</v>
      </c>
      <c r="C66" s="5" t="s">
        <v>978</v>
      </c>
      <c r="D66" s="5" t="s">
        <v>20</v>
      </c>
      <c r="E66" s="5" t="s">
        <v>982</v>
      </c>
      <c r="F66" s="5" t="s">
        <v>965</v>
      </c>
      <c r="G66" s="5">
        <v>2</v>
      </c>
      <c r="H66" s="5" t="s">
        <v>963</v>
      </c>
      <c r="I66" s="13">
        <v>519551807</v>
      </c>
      <c r="J66" s="10" t="s">
        <v>1049</v>
      </c>
      <c r="K66" t="str">
        <f>LEFT(C66,FIND(" ",C66)-1)&amp;"-"&amp;E66&amp;" "&amp;"Filialina çardırılma"</f>
        <v>Əli-Baki Filialina çardırılma</v>
      </c>
      <c r="L66">
        <f>VLOOKUP(D66,Anbar!$A$2:$B$5,2,FALSE)</f>
        <v>15</v>
      </c>
      <c r="M66">
        <f>VLOOKUP(D66,Anbar!$A$2:$C$5,3,FALSE)</f>
        <v>45</v>
      </c>
      <c r="N66">
        <f t="shared" si="0"/>
        <v>90</v>
      </c>
      <c r="O66">
        <f t="shared" si="1"/>
        <v>60</v>
      </c>
      <c r="P66" t="str">
        <f>IF(AND(F66="Nağd",G66&gt;5),M66*0.9,"0%")</f>
        <v>0%</v>
      </c>
      <c r="Q66" s="9" t="str">
        <f>IF(F66="Kredit",EOMONTH(B66,0),"")</f>
        <v/>
      </c>
      <c r="R66" s="17" t="str">
        <f>TEXT(B66,"dddd")</f>
        <v>Friday</v>
      </c>
    </row>
    <row r="67" spans="1:18">
      <c r="A67" s="5" t="s">
        <v>74</v>
      </c>
      <c r="B67" s="8">
        <v>46053</v>
      </c>
      <c r="C67" s="5" t="s">
        <v>975</v>
      </c>
      <c r="D67" s="5" t="s">
        <v>968</v>
      </c>
      <c r="E67" s="5" t="s">
        <v>964</v>
      </c>
      <c r="F67" s="5" t="s">
        <v>965</v>
      </c>
      <c r="G67" s="5">
        <v>5</v>
      </c>
      <c r="H67" s="5" t="s">
        <v>963</v>
      </c>
      <c r="I67" s="13">
        <v>516546701</v>
      </c>
      <c r="J67" s="10" t="s">
        <v>1050</v>
      </c>
      <c r="K67" t="str">
        <f>LEFT(C67,FIND(" ",C67)-1)&amp;"-"&amp;E67&amp;" "&amp;"Filialina çardırılma"</f>
        <v>Murad-Sumqayıt Filialina çardırılma</v>
      </c>
      <c r="L67">
        <f>VLOOKUP(D67,Anbar!$A$2:$B$5,2,FALSE)</f>
        <v>400</v>
      </c>
      <c r="M67">
        <f>VLOOKUP(D67,Anbar!$A$2:$C$5,3,FALSE)</f>
        <v>650</v>
      </c>
      <c r="N67">
        <f t="shared" ref="N67:N130" si="2">G67*M67</f>
        <v>3250</v>
      </c>
      <c r="O67">
        <f t="shared" ref="O67:O130" si="3">(M67-L67)*G67</f>
        <v>1250</v>
      </c>
      <c r="P67" t="str">
        <f>IF(AND(F67="Nağd",G67&gt;5),M67*0.9,"0%")</f>
        <v>0%</v>
      </c>
      <c r="Q67" s="9" t="str">
        <f>IF(F67="Kredit",EOMONTH(B67,0),"")</f>
        <v/>
      </c>
      <c r="R67" s="17" t="str">
        <f>TEXT(B67,"dddd")</f>
        <v>Saturday</v>
      </c>
    </row>
    <row r="68" spans="1:18">
      <c r="A68" s="5" t="s">
        <v>75</v>
      </c>
      <c r="B68" s="8">
        <v>46150</v>
      </c>
      <c r="C68" s="5" t="s">
        <v>967</v>
      </c>
      <c r="D68" s="5" t="s">
        <v>20</v>
      </c>
      <c r="E68" s="5" t="s">
        <v>981</v>
      </c>
      <c r="F68" s="5" t="s">
        <v>7</v>
      </c>
      <c r="G68" s="5">
        <v>4</v>
      </c>
      <c r="H68" s="5" t="s">
        <v>963</v>
      </c>
      <c r="I68" s="13">
        <v>774280198</v>
      </c>
      <c r="J68" s="10" t="s">
        <v>1051</v>
      </c>
      <c r="K68" t="str">
        <f>LEFT(C68,FIND(" ",C68)-1)&amp;"-"&amp;E68&amp;" "&amp;"Filialina çardırılma"</f>
        <v>Aysel-Gəncə Filialina çardırılma</v>
      </c>
      <c r="L68">
        <f>VLOOKUP(D68,Anbar!$A$2:$B$5,2,FALSE)</f>
        <v>15</v>
      </c>
      <c r="M68">
        <f>VLOOKUP(D68,Anbar!$A$2:$C$5,3,FALSE)</f>
        <v>45</v>
      </c>
      <c r="N68">
        <f t="shared" si="2"/>
        <v>180</v>
      </c>
      <c r="O68">
        <f t="shared" si="3"/>
        <v>120</v>
      </c>
      <c r="P68" t="str">
        <f>IF(AND(F68="Nağd",G68&gt;5),M68*0.9,"0%")</f>
        <v>0%</v>
      </c>
      <c r="Q68" s="9" t="str">
        <f>IF(F68="Kredit",EOMONTH(B68,0),"")</f>
        <v/>
      </c>
      <c r="R68" s="17" t="str">
        <f>TEXT(B68,"dddd")</f>
        <v>Friday</v>
      </c>
    </row>
    <row r="69" spans="1:18">
      <c r="A69" s="5" t="s">
        <v>76</v>
      </c>
      <c r="B69" s="8">
        <v>46149</v>
      </c>
      <c r="C69" s="5" t="s">
        <v>978</v>
      </c>
      <c r="D69" s="5" t="s">
        <v>15</v>
      </c>
      <c r="E69" s="5" t="s">
        <v>981</v>
      </c>
      <c r="F69" s="5" t="s">
        <v>4</v>
      </c>
      <c r="G69" s="5">
        <v>7</v>
      </c>
      <c r="H69" s="5" t="s">
        <v>963</v>
      </c>
      <c r="I69" s="13">
        <v>550812635</v>
      </c>
      <c r="J69" s="10" t="s">
        <v>1052</v>
      </c>
      <c r="K69" t="str">
        <f>LEFT(C69,FIND(" ",C69)-1)&amp;"-"&amp;E69&amp;" "&amp;"Filialina çardırılma"</f>
        <v>Əli-Gəncə Filialina çardırılma</v>
      </c>
      <c r="L69">
        <f>VLOOKUP(D69,Anbar!$A$2:$B$5,2,FALSE)</f>
        <v>600</v>
      </c>
      <c r="M69">
        <f>VLOOKUP(D69,Anbar!$A$2:$C$5,3,FALSE)</f>
        <v>950</v>
      </c>
      <c r="N69">
        <f t="shared" si="2"/>
        <v>6650</v>
      </c>
      <c r="O69">
        <f t="shared" si="3"/>
        <v>2450</v>
      </c>
      <c r="P69" t="str">
        <f>IF(AND(F69="Nağd",G69&gt;5),M69*0.9,"0%")</f>
        <v>0%</v>
      </c>
      <c r="Q69" s="9">
        <f>IF(F69="Kredit",EOMONTH(B69,0),"")</f>
        <v>46173</v>
      </c>
      <c r="R69" s="17" t="str">
        <f>TEXT(B69,"dddd")</f>
        <v>Thursday</v>
      </c>
    </row>
    <row r="70" spans="1:18">
      <c r="A70" s="5" t="s">
        <v>77</v>
      </c>
      <c r="B70" s="8">
        <v>46179</v>
      </c>
      <c r="C70" s="5" t="s">
        <v>967</v>
      </c>
      <c r="D70" s="5" t="s">
        <v>15</v>
      </c>
      <c r="E70" s="5" t="s">
        <v>964</v>
      </c>
      <c r="F70" s="5" t="s">
        <v>7</v>
      </c>
      <c r="G70" s="5">
        <v>5</v>
      </c>
      <c r="H70" s="5" t="s">
        <v>963</v>
      </c>
      <c r="I70" s="13">
        <v>554003436</v>
      </c>
      <c r="J70" s="10" t="s">
        <v>1053</v>
      </c>
      <c r="K70" t="str">
        <f>LEFT(C70,FIND(" ",C70)-1)&amp;"-"&amp;E70&amp;" "&amp;"Filialina çardırılma"</f>
        <v>Aysel-Sumqayıt Filialina çardırılma</v>
      </c>
      <c r="L70">
        <f>VLOOKUP(D70,Anbar!$A$2:$B$5,2,FALSE)</f>
        <v>600</v>
      </c>
      <c r="M70">
        <f>VLOOKUP(D70,Anbar!$A$2:$C$5,3,FALSE)</f>
        <v>950</v>
      </c>
      <c r="N70">
        <f t="shared" si="2"/>
        <v>4750</v>
      </c>
      <c r="O70">
        <f t="shared" si="3"/>
        <v>1750</v>
      </c>
      <c r="P70" t="str">
        <f>IF(AND(F70="Nağd",G70&gt;5),M70*0.9,"0%")</f>
        <v>0%</v>
      </c>
      <c r="Q70" s="9" t="str">
        <f>IF(F70="Kredit",EOMONTH(B70,0),"")</f>
        <v/>
      </c>
      <c r="R70" s="17" t="str">
        <f>TEXT(B70,"dddd")</f>
        <v>Saturday</v>
      </c>
    </row>
    <row r="71" spans="1:18">
      <c r="A71" s="5" t="s">
        <v>78</v>
      </c>
      <c r="B71" s="8">
        <v>46153</v>
      </c>
      <c r="C71" s="5" t="s">
        <v>976</v>
      </c>
      <c r="D71" s="5" t="s">
        <v>20</v>
      </c>
      <c r="E71" s="5" t="s">
        <v>983</v>
      </c>
      <c r="F71" s="5" t="s">
        <v>7</v>
      </c>
      <c r="G71" s="5">
        <v>2</v>
      </c>
      <c r="H71" s="5" t="s">
        <v>963</v>
      </c>
      <c r="I71" s="13">
        <v>777278924</v>
      </c>
      <c r="J71" s="10" t="s">
        <v>1054</v>
      </c>
      <c r="K71" t="str">
        <f>LEFT(C71,FIND(" ",C71)-1)&amp;"-"&amp;E71&amp;" "&amp;"Filialina çardırılma"</f>
        <v>Nərgin-Naməlum Filialina çardırılma</v>
      </c>
      <c r="L71">
        <f>VLOOKUP(D71,Anbar!$A$2:$B$5,2,FALSE)</f>
        <v>15</v>
      </c>
      <c r="M71">
        <f>VLOOKUP(D71,Anbar!$A$2:$C$5,3,FALSE)</f>
        <v>45</v>
      </c>
      <c r="N71">
        <f t="shared" si="2"/>
        <v>90</v>
      </c>
      <c r="O71">
        <f t="shared" si="3"/>
        <v>60</v>
      </c>
      <c r="P71" t="str">
        <f>IF(AND(F71="Nağd",G71&gt;5),M71*0.9,"0%")</f>
        <v>0%</v>
      </c>
      <c r="Q71" s="9" t="str">
        <f>IF(F71="Kredit",EOMONTH(B71,0),"")</f>
        <v/>
      </c>
      <c r="R71" s="17" t="str">
        <f>TEXT(B71,"dddd")</f>
        <v>Monday</v>
      </c>
    </row>
    <row r="72" spans="1:18">
      <c r="A72" s="5" t="s">
        <v>79</v>
      </c>
      <c r="B72" s="8">
        <v>46033</v>
      </c>
      <c r="C72" s="5" t="s">
        <v>979</v>
      </c>
      <c r="D72" s="5" t="s">
        <v>15</v>
      </c>
      <c r="E72" s="5" t="s">
        <v>966</v>
      </c>
      <c r="F72" s="5" t="s">
        <v>965</v>
      </c>
      <c r="G72" s="5">
        <v>9</v>
      </c>
      <c r="H72" s="5" t="s">
        <v>963</v>
      </c>
      <c r="I72" s="13">
        <v>777817698</v>
      </c>
      <c r="J72" s="10" t="s">
        <v>1055</v>
      </c>
      <c r="K72" t="str">
        <f>LEFT(C72,FIND(" ",C72)-1)&amp;"-"&amp;E72&amp;" "&amp;"Filialina çardırılma"</f>
        <v>Leyla-Bakı Filialina çardırılma</v>
      </c>
      <c r="L72">
        <f>VLOOKUP(D72,Anbar!$A$2:$B$5,2,FALSE)</f>
        <v>600</v>
      </c>
      <c r="M72">
        <f>VLOOKUP(D72,Anbar!$A$2:$C$5,3,FALSE)</f>
        <v>950</v>
      </c>
      <c r="N72">
        <f t="shared" si="2"/>
        <v>8550</v>
      </c>
      <c r="O72">
        <f t="shared" si="3"/>
        <v>3150</v>
      </c>
      <c r="P72">
        <f>IF(AND(F72="Nağd",G72&gt;5),M72*0.9,"0%")</f>
        <v>855</v>
      </c>
      <c r="Q72" s="9" t="str">
        <f>IF(F72="Kredit",EOMONTH(B72,0),"")</f>
        <v/>
      </c>
      <c r="R72" s="17" t="str">
        <f>TEXT(B72,"dddd")</f>
        <v>Sunday</v>
      </c>
    </row>
    <row r="73" spans="1:18">
      <c r="A73" s="5" t="s">
        <v>80</v>
      </c>
      <c r="B73" s="8">
        <v>46175</v>
      </c>
      <c r="C73" s="5" t="s">
        <v>974</v>
      </c>
      <c r="D73" s="5" t="s">
        <v>20</v>
      </c>
      <c r="E73" s="5" t="s">
        <v>964</v>
      </c>
      <c r="F73" s="5" t="s">
        <v>965</v>
      </c>
      <c r="G73" s="5">
        <v>9</v>
      </c>
      <c r="H73" s="5" t="s">
        <v>963</v>
      </c>
      <c r="I73" s="13">
        <v>514883959</v>
      </c>
      <c r="J73" s="10" t="s">
        <v>1056</v>
      </c>
      <c r="K73" t="str">
        <f>LEFT(C73,FIND(" ",C73)-1)&amp;"-"&amp;E73&amp;" "&amp;"Filialina çardırılma"</f>
        <v>Ramil-Sumqayıt Filialina çardırılma</v>
      </c>
      <c r="L73">
        <f>VLOOKUP(D73,Anbar!$A$2:$B$5,2,FALSE)</f>
        <v>15</v>
      </c>
      <c r="M73">
        <f>VLOOKUP(D73,Anbar!$A$2:$C$5,3,FALSE)</f>
        <v>45</v>
      </c>
      <c r="N73">
        <f t="shared" si="2"/>
        <v>405</v>
      </c>
      <c r="O73">
        <f t="shared" si="3"/>
        <v>270</v>
      </c>
      <c r="P73">
        <f>IF(AND(F73="Nağd",G73&gt;5),M73*0.9,"0%")</f>
        <v>40.5</v>
      </c>
      <c r="Q73" s="9" t="str">
        <f>IF(F73="Kredit",EOMONTH(B73,0),"")</f>
        <v/>
      </c>
      <c r="R73" s="17" t="str">
        <f>TEXT(B73,"dddd")</f>
        <v>Tuesday</v>
      </c>
    </row>
    <row r="74" spans="1:18">
      <c r="A74" s="5" t="s">
        <v>81</v>
      </c>
      <c r="B74" s="8">
        <v>46096</v>
      </c>
      <c r="C74" s="5" t="s">
        <v>967</v>
      </c>
      <c r="D74" s="5" t="s">
        <v>20</v>
      </c>
      <c r="E74" s="5" t="s">
        <v>980</v>
      </c>
      <c r="F74" s="5" t="s">
        <v>965</v>
      </c>
      <c r="G74" s="5">
        <v>9</v>
      </c>
      <c r="H74" s="5" t="s">
        <v>963</v>
      </c>
      <c r="I74" s="13">
        <v>778790822</v>
      </c>
      <c r="J74" s="10" t="s">
        <v>1057</v>
      </c>
      <c r="K74" t="str">
        <f>LEFT(C74,FIND(" ",C74)-1)&amp;"-"&amp;E74&amp;" "&amp;"Filialina çardırılma"</f>
        <v>Aysel-Sumqayit Filialina çardırılma</v>
      </c>
      <c r="L74">
        <f>VLOOKUP(D74,Anbar!$A$2:$B$5,2,FALSE)</f>
        <v>15</v>
      </c>
      <c r="M74">
        <f>VLOOKUP(D74,Anbar!$A$2:$C$5,3,FALSE)</f>
        <v>45</v>
      </c>
      <c r="N74">
        <f t="shared" si="2"/>
        <v>405</v>
      </c>
      <c r="O74">
        <f t="shared" si="3"/>
        <v>270</v>
      </c>
      <c r="P74">
        <f>IF(AND(F74="Nağd",G74&gt;5),M74*0.9,"0%")</f>
        <v>40.5</v>
      </c>
      <c r="Q74" s="9" t="str">
        <f>IF(F74="Kredit",EOMONTH(B74,0),"")</f>
        <v/>
      </c>
      <c r="R74" s="17" t="str">
        <f>TEXT(B74,"dddd")</f>
        <v>Sunday</v>
      </c>
    </row>
    <row r="75" spans="1:18">
      <c r="A75" s="5" t="s">
        <v>82</v>
      </c>
      <c r="B75" s="8">
        <v>46093</v>
      </c>
      <c r="C75" s="5" t="s">
        <v>974</v>
      </c>
      <c r="D75" s="5" t="s">
        <v>15</v>
      </c>
      <c r="E75" s="5" t="s">
        <v>964</v>
      </c>
      <c r="F75" s="5" t="s">
        <v>965</v>
      </c>
      <c r="G75" s="5">
        <v>4</v>
      </c>
      <c r="H75" s="5" t="s">
        <v>963</v>
      </c>
      <c r="I75" s="13">
        <v>512165802</v>
      </c>
      <c r="J75" s="10" t="s">
        <v>1058</v>
      </c>
      <c r="K75" t="str">
        <f>LEFT(C75,FIND(" ",C75)-1)&amp;"-"&amp;E75&amp;" "&amp;"Filialina çardırılma"</f>
        <v>Ramil-Sumqayıt Filialina çardırılma</v>
      </c>
      <c r="L75">
        <f>VLOOKUP(D75,Anbar!$A$2:$B$5,2,FALSE)</f>
        <v>600</v>
      </c>
      <c r="M75">
        <f>VLOOKUP(D75,Anbar!$A$2:$C$5,3,FALSE)</f>
        <v>950</v>
      </c>
      <c r="N75">
        <f t="shared" si="2"/>
        <v>3800</v>
      </c>
      <c r="O75">
        <f t="shared" si="3"/>
        <v>1400</v>
      </c>
      <c r="P75" t="str">
        <f>IF(AND(F75="Nağd",G75&gt;5),M75*0.9,"0%")</f>
        <v>0%</v>
      </c>
      <c r="Q75" s="9" t="str">
        <f>IF(F75="Kredit",EOMONTH(B75,0),"")</f>
        <v/>
      </c>
      <c r="R75" s="17" t="str">
        <f>TEXT(B75,"dddd")</f>
        <v>Thursday</v>
      </c>
    </row>
    <row r="76" spans="1:18">
      <c r="A76" s="5" t="s">
        <v>83</v>
      </c>
      <c r="B76" s="8">
        <v>46097</v>
      </c>
      <c r="C76" s="5" t="s">
        <v>978</v>
      </c>
      <c r="D76" s="5" t="s">
        <v>971</v>
      </c>
      <c r="E76" s="5" t="s">
        <v>964</v>
      </c>
      <c r="F76" s="5" t="s">
        <v>4</v>
      </c>
      <c r="G76" s="5">
        <v>3</v>
      </c>
      <c r="H76" s="5" t="s">
        <v>963</v>
      </c>
      <c r="I76" s="13">
        <v>517863565</v>
      </c>
      <c r="J76" s="10" t="s">
        <v>1059</v>
      </c>
      <c r="K76" t="str">
        <f>LEFT(C76,FIND(" ",C76)-1)&amp;"-"&amp;E76&amp;" "&amp;"Filialina çardırılma"</f>
        <v>Əli-Sumqayıt Filialina çardırılma</v>
      </c>
      <c r="L76">
        <f>VLOOKUP(D76,Anbar!$A$2:$B$5,2,FALSE)</f>
        <v>1200</v>
      </c>
      <c r="M76">
        <f>VLOOKUP(D76,Anbar!$A$2:$C$5,3,FALSE)</f>
        <v>1800</v>
      </c>
      <c r="N76">
        <f t="shared" si="2"/>
        <v>5400</v>
      </c>
      <c r="O76">
        <f t="shared" si="3"/>
        <v>1800</v>
      </c>
      <c r="P76" t="str">
        <f>IF(AND(F76="Nağd",G76&gt;5),M76*0.9,"0%")</f>
        <v>0%</v>
      </c>
      <c r="Q76" s="9">
        <f>IF(F76="Kredit",EOMONTH(B76,0),"")</f>
        <v>46112</v>
      </c>
      <c r="R76" s="17" t="str">
        <f>TEXT(B76,"dddd")</f>
        <v>Monday</v>
      </c>
    </row>
    <row r="77" spans="1:18">
      <c r="A77" s="5" t="s">
        <v>84</v>
      </c>
      <c r="B77" s="8">
        <v>46118</v>
      </c>
      <c r="C77" s="5" t="s">
        <v>976</v>
      </c>
      <c r="D77" s="5" t="s">
        <v>968</v>
      </c>
      <c r="E77" s="5" t="s">
        <v>9</v>
      </c>
      <c r="F77" s="5" t="s">
        <v>7</v>
      </c>
      <c r="G77" s="5">
        <v>9</v>
      </c>
      <c r="H77" s="5" t="s">
        <v>963</v>
      </c>
      <c r="I77" s="13">
        <v>558082070</v>
      </c>
      <c r="J77" s="10" t="s">
        <v>1060</v>
      </c>
      <c r="K77" t="str">
        <f>LEFT(C77,FIND(" ",C77)-1)&amp;"-"&amp;E77&amp;" "&amp;"Filialina çardırılma"</f>
        <v>Nərgin-Gence Filialina çardırılma</v>
      </c>
      <c r="L77">
        <f>VLOOKUP(D77,Anbar!$A$2:$B$5,2,FALSE)</f>
        <v>400</v>
      </c>
      <c r="M77">
        <f>VLOOKUP(D77,Anbar!$A$2:$C$5,3,FALSE)</f>
        <v>650</v>
      </c>
      <c r="N77">
        <f t="shared" si="2"/>
        <v>5850</v>
      </c>
      <c r="O77">
        <f t="shared" si="3"/>
        <v>2250</v>
      </c>
      <c r="P77" t="str">
        <f>IF(AND(F77="Nağd",G77&gt;5),M77*0.9,"0%")</f>
        <v>0%</v>
      </c>
      <c r="Q77" s="9" t="str">
        <f>IF(F77="Kredit",EOMONTH(B77,0),"")</f>
        <v/>
      </c>
      <c r="R77" s="17" t="str">
        <f>TEXT(B77,"dddd")</f>
        <v>Monday</v>
      </c>
    </row>
    <row r="78" spans="1:18">
      <c r="A78" s="5" t="s">
        <v>85</v>
      </c>
      <c r="B78" s="8">
        <v>46177</v>
      </c>
      <c r="C78" s="5" t="s">
        <v>6</v>
      </c>
      <c r="D78" s="5" t="s">
        <v>15</v>
      </c>
      <c r="E78" s="5" t="s">
        <v>9</v>
      </c>
      <c r="F78" s="5" t="s">
        <v>965</v>
      </c>
      <c r="G78" s="5">
        <v>4</v>
      </c>
      <c r="H78" s="5" t="s">
        <v>963</v>
      </c>
      <c r="I78" s="13">
        <v>556619330</v>
      </c>
      <c r="J78" s="10" t="s">
        <v>1061</v>
      </c>
      <c r="K78" t="str">
        <f>LEFT(C78,FIND(" ",C78)-1)&amp;"-"&amp;E78&amp;" "&amp;"Filialina çardırılma"</f>
        <v>Zaur-Gence Filialina çardırılma</v>
      </c>
      <c r="L78">
        <f>VLOOKUP(D78,Anbar!$A$2:$B$5,2,FALSE)</f>
        <v>600</v>
      </c>
      <c r="M78">
        <f>VLOOKUP(D78,Anbar!$A$2:$C$5,3,FALSE)</f>
        <v>950</v>
      </c>
      <c r="N78">
        <f t="shared" si="2"/>
        <v>3800</v>
      </c>
      <c r="O78">
        <f t="shared" si="3"/>
        <v>1400</v>
      </c>
      <c r="P78" t="str">
        <f>IF(AND(F78="Nağd",G78&gt;5),M78*0.9,"0%")</f>
        <v>0%</v>
      </c>
      <c r="Q78" s="9" t="str">
        <f>IF(F78="Kredit",EOMONTH(B78,0),"")</f>
        <v/>
      </c>
      <c r="R78" s="17" t="str">
        <f>TEXT(B78,"dddd")</f>
        <v>Thursday</v>
      </c>
    </row>
    <row r="79" spans="1:18">
      <c r="A79" s="5" t="s">
        <v>86</v>
      </c>
      <c r="B79" s="8">
        <v>46120</v>
      </c>
      <c r="C79" s="5" t="s">
        <v>974</v>
      </c>
      <c r="D79" s="5" t="s">
        <v>15</v>
      </c>
      <c r="E79" s="5" t="s">
        <v>980</v>
      </c>
      <c r="F79" s="5" t="s">
        <v>965</v>
      </c>
      <c r="G79" s="5">
        <v>6</v>
      </c>
      <c r="H79" s="5" t="s">
        <v>963</v>
      </c>
      <c r="I79" s="13">
        <v>508453172</v>
      </c>
      <c r="J79" s="10" t="s">
        <v>1062</v>
      </c>
      <c r="K79" t="str">
        <f>LEFT(C79,FIND(" ",C79)-1)&amp;"-"&amp;E79&amp;" "&amp;"Filialina çardırılma"</f>
        <v>Ramil-Sumqayit Filialina çardırılma</v>
      </c>
      <c r="L79">
        <f>VLOOKUP(D79,Anbar!$A$2:$B$5,2,FALSE)</f>
        <v>600</v>
      </c>
      <c r="M79">
        <f>VLOOKUP(D79,Anbar!$A$2:$C$5,3,FALSE)</f>
        <v>950</v>
      </c>
      <c r="N79">
        <f t="shared" si="2"/>
        <v>5700</v>
      </c>
      <c r="O79">
        <f t="shared" si="3"/>
        <v>2100</v>
      </c>
      <c r="P79">
        <f>IF(AND(F79="Nağd",G79&gt;5),M79*0.9,"0%")</f>
        <v>855</v>
      </c>
      <c r="Q79" s="9" t="str">
        <f>IF(F79="Kredit",EOMONTH(B79,0),"")</f>
        <v/>
      </c>
      <c r="R79" s="17" t="str">
        <f>TEXT(B79,"dddd")</f>
        <v>Wednesday</v>
      </c>
    </row>
    <row r="80" spans="1:18">
      <c r="A80" s="5" t="s">
        <v>87</v>
      </c>
      <c r="B80" s="8">
        <v>46123</v>
      </c>
      <c r="C80" s="5" t="s">
        <v>974</v>
      </c>
      <c r="D80" s="5" t="s">
        <v>971</v>
      </c>
      <c r="E80" s="5" t="s">
        <v>982</v>
      </c>
      <c r="F80" s="5" t="s">
        <v>7</v>
      </c>
      <c r="G80" s="5">
        <v>5</v>
      </c>
      <c r="H80" s="5" t="s">
        <v>963</v>
      </c>
      <c r="I80" s="13">
        <v>775720656</v>
      </c>
      <c r="J80" s="10" t="s">
        <v>1063</v>
      </c>
      <c r="K80" t="str">
        <f>LEFT(C80,FIND(" ",C80)-1)&amp;"-"&amp;E80&amp;" "&amp;"Filialina çardırılma"</f>
        <v>Ramil-Baki Filialina çardırılma</v>
      </c>
      <c r="L80">
        <f>VLOOKUP(D80,Anbar!$A$2:$B$5,2,FALSE)</f>
        <v>1200</v>
      </c>
      <c r="M80">
        <f>VLOOKUP(D80,Anbar!$A$2:$C$5,3,FALSE)</f>
        <v>1800</v>
      </c>
      <c r="N80">
        <f t="shared" si="2"/>
        <v>9000</v>
      </c>
      <c r="O80">
        <f t="shared" si="3"/>
        <v>3000</v>
      </c>
      <c r="P80" t="str">
        <f>IF(AND(F80="Nağd",G80&gt;5),M80*0.9,"0%")</f>
        <v>0%</v>
      </c>
      <c r="Q80" s="9" t="str">
        <f>IF(F80="Kredit",EOMONTH(B80,0),"")</f>
        <v/>
      </c>
      <c r="R80" s="17" t="str">
        <f>TEXT(B80,"dddd")</f>
        <v>Saturday</v>
      </c>
    </row>
    <row r="81" spans="1:18">
      <c r="A81" s="5" t="s">
        <v>88</v>
      </c>
      <c r="B81" s="8">
        <v>46119</v>
      </c>
      <c r="C81" s="5" t="s">
        <v>6</v>
      </c>
      <c r="D81" s="5" t="s">
        <v>971</v>
      </c>
      <c r="E81" s="5" t="s">
        <v>9</v>
      </c>
      <c r="F81" s="5" t="s">
        <v>4</v>
      </c>
      <c r="G81" s="5">
        <v>10</v>
      </c>
      <c r="H81" s="5" t="s">
        <v>963</v>
      </c>
      <c r="I81" s="13">
        <v>504078245</v>
      </c>
      <c r="J81" s="10" t="s">
        <v>1064</v>
      </c>
      <c r="K81" t="str">
        <f>LEFT(C81,FIND(" ",C81)-1)&amp;"-"&amp;E81&amp;" "&amp;"Filialina çardırılma"</f>
        <v>Zaur-Gence Filialina çardırılma</v>
      </c>
      <c r="L81">
        <f>VLOOKUP(D81,Anbar!$A$2:$B$5,2,FALSE)</f>
        <v>1200</v>
      </c>
      <c r="M81">
        <f>VLOOKUP(D81,Anbar!$A$2:$C$5,3,FALSE)</f>
        <v>1800</v>
      </c>
      <c r="N81">
        <f t="shared" si="2"/>
        <v>18000</v>
      </c>
      <c r="O81">
        <f t="shared" si="3"/>
        <v>6000</v>
      </c>
      <c r="P81" t="str">
        <f>IF(AND(F81="Nağd",G81&gt;5),M81*0.9,"0%")</f>
        <v>0%</v>
      </c>
      <c r="Q81" s="9">
        <f>IF(F81="Kredit",EOMONTH(B81,0),"")</f>
        <v>46142</v>
      </c>
      <c r="R81" s="17" t="str">
        <f>TEXT(B81,"dddd")</f>
        <v>Tuesday</v>
      </c>
    </row>
    <row r="82" spans="1:18">
      <c r="A82" s="5" t="s">
        <v>89</v>
      </c>
      <c r="B82" s="8">
        <v>46067</v>
      </c>
      <c r="C82" s="5" t="s">
        <v>977</v>
      </c>
      <c r="D82" s="5" t="s">
        <v>971</v>
      </c>
      <c r="E82" s="5" t="s">
        <v>964</v>
      </c>
      <c r="F82" s="5" t="s">
        <v>965</v>
      </c>
      <c r="G82" s="5">
        <v>5</v>
      </c>
      <c r="H82" s="5" t="s">
        <v>963</v>
      </c>
      <c r="I82" s="13">
        <v>779661196</v>
      </c>
      <c r="J82" s="10" t="s">
        <v>1065</v>
      </c>
      <c r="K82" t="str">
        <f>LEFT(C82,FIND(" ",C82)-1)&amp;"-"&amp;E82&amp;" "&amp;"Filialina çardırılma"</f>
        <v>Elnur-Sumqayıt Filialina çardırılma</v>
      </c>
      <c r="L82">
        <f>VLOOKUP(D82,Anbar!$A$2:$B$5,2,FALSE)</f>
        <v>1200</v>
      </c>
      <c r="M82">
        <f>VLOOKUP(D82,Anbar!$A$2:$C$5,3,FALSE)</f>
        <v>1800</v>
      </c>
      <c r="N82">
        <f t="shared" si="2"/>
        <v>9000</v>
      </c>
      <c r="O82">
        <f t="shared" si="3"/>
        <v>3000</v>
      </c>
      <c r="P82" t="str">
        <f>IF(AND(F82="Nağd",G82&gt;5),M82*0.9,"0%")</f>
        <v>0%</v>
      </c>
      <c r="Q82" s="9" t="str">
        <f>IF(F82="Kredit",EOMONTH(B82,0),"")</f>
        <v/>
      </c>
      <c r="R82" s="17" t="str">
        <f>TEXT(B82,"dddd")</f>
        <v>Saturday</v>
      </c>
    </row>
    <row r="83" spans="1:18">
      <c r="A83" s="5" t="s">
        <v>90</v>
      </c>
      <c r="B83" s="8">
        <v>46137</v>
      </c>
      <c r="C83" s="5" t="s">
        <v>975</v>
      </c>
      <c r="D83" s="5" t="s">
        <v>15</v>
      </c>
      <c r="E83" s="5" t="s">
        <v>9</v>
      </c>
      <c r="F83" s="5" t="s">
        <v>4</v>
      </c>
      <c r="G83" s="5">
        <v>4</v>
      </c>
      <c r="H83" s="5" t="s">
        <v>963</v>
      </c>
      <c r="I83" s="13">
        <v>772780882</v>
      </c>
      <c r="J83" s="10" t="s">
        <v>1066</v>
      </c>
      <c r="K83" t="str">
        <f>LEFT(C83,FIND(" ",C83)-1)&amp;"-"&amp;E83&amp;" "&amp;"Filialina çardırılma"</f>
        <v>Murad-Gence Filialina çardırılma</v>
      </c>
      <c r="L83">
        <f>VLOOKUP(D83,Anbar!$A$2:$B$5,2,FALSE)</f>
        <v>600</v>
      </c>
      <c r="M83">
        <f>VLOOKUP(D83,Anbar!$A$2:$C$5,3,FALSE)</f>
        <v>950</v>
      </c>
      <c r="N83">
        <f t="shared" si="2"/>
        <v>3800</v>
      </c>
      <c r="O83">
        <f t="shared" si="3"/>
        <v>1400</v>
      </c>
      <c r="P83" t="str">
        <f>IF(AND(F83="Nağd",G83&gt;5),M83*0.9,"0%")</f>
        <v>0%</v>
      </c>
      <c r="Q83" s="9">
        <f>IF(F83="Kredit",EOMONTH(B83,0),"")</f>
        <v>46142</v>
      </c>
      <c r="R83" s="17" t="str">
        <f>TEXT(B83,"dddd")</f>
        <v>Saturday</v>
      </c>
    </row>
    <row r="84" spans="1:18">
      <c r="A84" s="5" t="s">
        <v>91</v>
      </c>
      <c r="B84" s="8">
        <v>46092</v>
      </c>
      <c r="C84" s="5" t="s">
        <v>976</v>
      </c>
      <c r="D84" s="5" t="s">
        <v>971</v>
      </c>
      <c r="E84" s="5" t="s">
        <v>966</v>
      </c>
      <c r="F84" s="5" t="s">
        <v>7</v>
      </c>
      <c r="G84" s="5">
        <v>7</v>
      </c>
      <c r="H84" s="5" t="s">
        <v>963</v>
      </c>
      <c r="I84" s="13">
        <v>502623009</v>
      </c>
      <c r="J84" s="10" t="s">
        <v>1067</v>
      </c>
      <c r="K84" t="str">
        <f>LEFT(C84,FIND(" ",C84)-1)&amp;"-"&amp;E84&amp;" "&amp;"Filialina çardırılma"</f>
        <v>Nərgin-Bakı Filialina çardırılma</v>
      </c>
      <c r="L84">
        <f>VLOOKUP(D84,Anbar!$A$2:$B$5,2,FALSE)</f>
        <v>1200</v>
      </c>
      <c r="M84">
        <f>VLOOKUP(D84,Anbar!$A$2:$C$5,3,FALSE)</f>
        <v>1800</v>
      </c>
      <c r="N84">
        <f t="shared" si="2"/>
        <v>12600</v>
      </c>
      <c r="O84">
        <f t="shared" si="3"/>
        <v>4200</v>
      </c>
      <c r="P84" t="str">
        <f>IF(AND(F84="Nağd",G84&gt;5),M84*0.9,"0%")</f>
        <v>0%</v>
      </c>
      <c r="Q84" s="9" t="str">
        <f>IF(F84="Kredit",EOMONTH(B84,0),"")</f>
        <v/>
      </c>
      <c r="R84" s="17" t="str">
        <f>TEXT(B84,"dddd")</f>
        <v>Wednesday</v>
      </c>
    </row>
    <row r="85" spans="1:18">
      <c r="A85" s="5" t="s">
        <v>92</v>
      </c>
      <c r="B85" s="8">
        <v>46166</v>
      </c>
      <c r="C85" s="5" t="s">
        <v>976</v>
      </c>
      <c r="D85" s="5" t="s">
        <v>971</v>
      </c>
      <c r="E85" s="5" t="s">
        <v>982</v>
      </c>
      <c r="F85" s="5" t="s">
        <v>4</v>
      </c>
      <c r="G85" s="5">
        <v>6</v>
      </c>
      <c r="H85" s="5" t="s">
        <v>963</v>
      </c>
      <c r="I85" s="13">
        <v>703322078</v>
      </c>
      <c r="J85" s="10" t="s">
        <v>1068</v>
      </c>
      <c r="K85" t="str">
        <f>LEFT(C85,FIND(" ",C85)-1)&amp;"-"&amp;E85&amp;" "&amp;"Filialina çardırılma"</f>
        <v>Nərgin-Baki Filialina çardırılma</v>
      </c>
      <c r="L85">
        <f>VLOOKUP(D85,Anbar!$A$2:$B$5,2,FALSE)</f>
        <v>1200</v>
      </c>
      <c r="M85">
        <f>VLOOKUP(D85,Anbar!$A$2:$C$5,3,FALSE)</f>
        <v>1800</v>
      </c>
      <c r="N85">
        <f t="shared" si="2"/>
        <v>10800</v>
      </c>
      <c r="O85">
        <f t="shared" si="3"/>
        <v>3600</v>
      </c>
      <c r="P85" t="str">
        <f>IF(AND(F85="Nağd",G85&gt;5),M85*0.9,"0%")</f>
        <v>0%</v>
      </c>
      <c r="Q85" s="9">
        <f>IF(F85="Kredit",EOMONTH(B85,0),"")</f>
        <v>46173</v>
      </c>
      <c r="R85" s="17" t="str">
        <f>TEXT(B85,"dddd")</f>
        <v>Sunday</v>
      </c>
    </row>
    <row r="86" spans="1:18">
      <c r="A86" s="5" t="s">
        <v>93</v>
      </c>
      <c r="B86" s="8">
        <v>46105</v>
      </c>
      <c r="C86" s="5" t="s">
        <v>6</v>
      </c>
      <c r="D86" s="5" t="s">
        <v>15</v>
      </c>
      <c r="E86" s="5" t="s">
        <v>981</v>
      </c>
      <c r="F86" s="5" t="s">
        <v>4</v>
      </c>
      <c r="G86" s="5">
        <v>5</v>
      </c>
      <c r="H86" s="5" t="s">
        <v>963</v>
      </c>
      <c r="I86" s="13">
        <v>511957639</v>
      </c>
      <c r="J86" s="10" t="s">
        <v>1069</v>
      </c>
      <c r="K86" t="str">
        <f>LEFT(C86,FIND(" ",C86)-1)&amp;"-"&amp;E86&amp;" "&amp;"Filialina çardırılma"</f>
        <v>Zaur-Gəncə Filialina çardırılma</v>
      </c>
      <c r="L86">
        <f>VLOOKUP(D86,Anbar!$A$2:$B$5,2,FALSE)</f>
        <v>600</v>
      </c>
      <c r="M86">
        <f>VLOOKUP(D86,Anbar!$A$2:$C$5,3,FALSE)</f>
        <v>950</v>
      </c>
      <c r="N86">
        <f t="shared" si="2"/>
        <v>4750</v>
      </c>
      <c r="O86">
        <f t="shared" si="3"/>
        <v>1750</v>
      </c>
      <c r="P86" t="str">
        <f>IF(AND(F86="Nağd",G86&gt;5),M86*0.9,"0%")</f>
        <v>0%</v>
      </c>
      <c r="Q86" s="9">
        <f>IF(F86="Kredit",EOMONTH(B86,0),"")</f>
        <v>46112</v>
      </c>
      <c r="R86" s="17" t="str">
        <f>TEXT(B86,"dddd")</f>
        <v>Tuesday</v>
      </c>
    </row>
    <row r="87" spans="1:18">
      <c r="A87" s="5" t="s">
        <v>94</v>
      </c>
      <c r="B87" s="8">
        <v>46087</v>
      </c>
      <c r="C87" s="5" t="s">
        <v>977</v>
      </c>
      <c r="D87" s="5" t="s">
        <v>968</v>
      </c>
      <c r="E87" s="5" t="s">
        <v>9</v>
      </c>
      <c r="F87" s="5" t="s">
        <v>4</v>
      </c>
      <c r="G87" s="5">
        <v>1</v>
      </c>
      <c r="H87" s="5" t="s">
        <v>963</v>
      </c>
      <c r="I87" s="13">
        <v>776873581</v>
      </c>
      <c r="J87" s="10" t="s">
        <v>1070</v>
      </c>
      <c r="K87" t="str">
        <f>LEFT(C87,FIND(" ",C87)-1)&amp;"-"&amp;E87&amp;" "&amp;"Filialina çardırılma"</f>
        <v>Elnur-Gence Filialina çardırılma</v>
      </c>
      <c r="L87">
        <f>VLOOKUP(D87,Anbar!$A$2:$B$5,2,FALSE)</f>
        <v>400</v>
      </c>
      <c r="M87">
        <f>VLOOKUP(D87,Anbar!$A$2:$C$5,3,FALSE)</f>
        <v>650</v>
      </c>
      <c r="N87">
        <f t="shared" si="2"/>
        <v>650</v>
      </c>
      <c r="O87">
        <f t="shared" si="3"/>
        <v>250</v>
      </c>
      <c r="P87" t="str">
        <f>IF(AND(F87="Nağd",G87&gt;5),M87*0.9,"0%")</f>
        <v>0%</v>
      </c>
      <c r="Q87" s="9">
        <f>IF(F87="Kredit",EOMONTH(B87,0),"")</f>
        <v>46112</v>
      </c>
      <c r="R87" s="17" t="str">
        <f>TEXT(B87,"dddd")</f>
        <v>Friday</v>
      </c>
    </row>
    <row r="88" spans="1:18">
      <c r="A88" s="5" t="s">
        <v>95</v>
      </c>
      <c r="B88" s="8">
        <v>46116</v>
      </c>
      <c r="C88" s="5" t="s">
        <v>979</v>
      </c>
      <c r="D88" s="5" t="s">
        <v>15</v>
      </c>
      <c r="E88" s="5" t="s">
        <v>982</v>
      </c>
      <c r="F88" s="5" t="s">
        <v>965</v>
      </c>
      <c r="G88" s="5">
        <v>6</v>
      </c>
      <c r="H88" s="5" t="s">
        <v>963</v>
      </c>
      <c r="I88" s="13">
        <v>770691349</v>
      </c>
      <c r="J88" s="10" t="s">
        <v>1071</v>
      </c>
      <c r="K88" t="str">
        <f>LEFT(C88,FIND(" ",C88)-1)&amp;"-"&amp;E88&amp;" "&amp;"Filialina çardırılma"</f>
        <v>Leyla-Baki Filialina çardırılma</v>
      </c>
      <c r="L88">
        <f>VLOOKUP(D88,Anbar!$A$2:$B$5,2,FALSE)</f>
        <v>600</v>
      </c>
      <c r="M88">
        <f>VLOOKUP(D88,Anbar!$A$2:$C$5,3,FALSE)</f>
        <v>950</v>
      </c>
      <c r="N88">
        <f t="shared" si="2"/>
        <v>5700</v>
      </c>
      <c r="O88">
        <f t="shared" si="3"/>
        <v>2100</v>
      </c>
      <c r="P88">
        <f>IF(AND(F88="Nağd",G88&gt;5),M88*0.9,"0%")</f>
        <v>855</v>
      </c>
      <c r="Q88" s="9" t="str">
        <f>IF(F88="Kredit",EOMONTH(B88,0),"")</f>
        <v/>
      </c>
      <c r="R88" s="17" t="str">
        <f>TEXT(B88,"dddd")</f>
        <v>Saturday</v>
      </c>
    </row>
    <row r="89" spans="1:18">
      <c r="A89" s="5" t="s">
        <v>96</v>
      </c>
      <c r="B89" s="8">
        <v>46171</v>
      </c>
      <c r="C89" s="5" t="s">
        <v>967</v>
      </c>
      <c r="D89" s="5" t="s">
        <v>20</v>
      </c>
      <c r="E89" s="5" t="s">
        <v>964</v>
      </c>
      <c r="F89" s="5" t="s">
        <v>965</v>
      </c>
      <c r="G89" s="5">
        <v>4</v>
      </c>
      <c r="H89" s="5" t="s">
        <v>963</v>
      </c>
      <c r="I89" s="13">
        <v>556009284</v>
      </c>
      <c r="J89" s="10" t="s">
        <v>1072</v>
      </c>
      <c r="K89" t="str">
        <f>LEFT(C89,FIND(" ",C89)-1)&amp;"-"&amp;E89&amp;" "&amp;"Filialina çardırılma"</f>
        <v>Aysel-Sumqayıt Filialina çardırılma</v>
      </c>
      <c r="L89">
        <f>VLOOKUP(D89,Anbar!$A$2:$B$5,2,FALSE)</f>
        <v>15</v>
      </c>
      <c r="M89">
        <f>VLOOKUP(D89,Anbar!$A$2:$C$5,3,FALSE)</f>
        <v>45</v>
      </c>
      <c r="N89">
        <f t="shared" si="2"/>
        <v>180</v>
      </c>
      <c r="O89">
        <f t="shared" si="3"/>
        <v>120</v>
      </c>
      <c r="P89" t="str">
        <f>IF(AND(F89="Nağd",G89&gt;5),M89*0.9,"0%")</f>
        <v>0%</v>
      </c>
      <c r="Q89" s="9" t="str">
        <f>IF(F89="Kredit",EOMONTH(B89,0),"")</f>
        <v/>
      </c>
      <c r="R89" s="17" t="str">
        <f>TEXT(B89,"dddd")</f>
        <v>Friday</v>
      </c>
    </row>
    <row r="90" spans="1:18">
      <c r="A90" s="5" t="s">
        <v>97</v>
      </c>
      <c r="B90" s="8">
        <v>46043</v>
      </c>
      <c r="C90" s="5" t="s">
        <v>974</v>
      </c>
      <c r="D90" s="5" t="s">
        <v>971</v>
      </c>
      <c r="E90" s="5" t="s">
        <v>964</v>
      </c>
      <c r="F90" s="5" t="s">
        <v>4</v>
      </c>
      <c r="G90" s="5">
        <v>8</v>
      </c>
      <c r="H90" s="5" t="s">
        <v>963</v>
      </c>
      <c r="I90" s="13">
        <v>778451920</v>
      </c>
      <c r="J90" s="10" t="s">
        <v>1073</v>
      </c>
      <c r="K90" t="str">
        <f>LEFT(C90,FIND(" ",C90)-1)&amp;"-"&amp;E90&amp;" "&amp;"Filialina çardırılma"</f>
        <v>Ramil-Sumqayıt Filialina çardırılma</v>
      </c>
      <c r="L90">
        <f>VLOOKUP(D90,Anbar!$A$2:$B$5,2,FALSE)</f>
        <v>1200</v>
      </c>
      <c r="M90">
        <f>VLOOKUP(D90,Anbar!$A$2:$C$5,3,FALSE)</f>
        <v>1800</v>
      </c>
      <c r="N90">
        <f t="shared" si="2"/>
        <v>14400</v>
      </c>
      <c r="O90">
        <f t="shared" si="3"/>
        <v>4800</v>
      </c>
      <c r="P90" t="str">
        <f>IF(AND(F90="Nağd",G90&gt;5),M90*0.9,"0%")</f>
        <v>0%</v>
      </c>
      <c r="Q90" s="9">
        <f>IF(F90="Kredit",EOMONTH(B90,0),"")</f>
        <v>46053</v>
      </c>
      <c r="R90" s="17" t="str">
        <f>TEXT(B90,"dddd")</f>
        <v>Wednesday</v>
      </c>
    </row>
    <row r="91" spans="1:18">
      <c r="A91" s="5" t="s">
        <v>98</v>
      </c>
      <c r="B91" s="8">
        <v>46171</v>
      </c>
      <c r="C91" s="5" t="s">
        <v>979</v>
      </c>
      <c r="D91" s="5" t="s">
        <v>971</v>
      </c>
      <c r="E91" s="5" t="s">
        <v>964</v>
      </c>
      <c r="F91" s="5" t="s">
        <v>4</v>
      </c>
      <c r="G91" s="5">
        <v>3</v>
      </c>
      <c r="H91" s="5" t="s">
        <v>963</v>
      </c>
      <c r="I91" s="13">
        <v>500219169</v>
      </c>
      <c r="J91" s="10" t="s">
        <v>1074</v>
      </c>
      <c r="K91" t="str">
        <f>LEFT(C91,FIND(" ",C91)-1)&amp;"-"&amp;E91&amp;" "&amp;"Filialina çardırılma"</f>
        <v>Leyla-Sumqayıt Filialina çardırılma</v>
      </c>
      <c r="L91">
        <f>VLOOKUP(D91,Anbar!$A$2:$B$5,2,FALSE)</f>
        <v>1200</v>
      </c>
      <c r="M91">
        <f>VLOOKUP(D91,Anbar!$A$2:$C$5,3,FALSE)</f>
        <v>1800</v>
      </c>
      <c r="N91">
        <f t="shared" si="2"/>
        <v>5400</v>
      </c>
      <c r="O91">
        <f t="shared" si="3"/>
        <v>1800</v>
      </c>
      <c r="P91" t="str">
        <f>IF(AND(F91="Nağd",G91&gt;5),M91*0.9,"0%")</f>
        <v>0%</v>
      </c>
      <c r="Q91" s="9">
        <f>IF(F91="Kredit",EOMONTH(B91,0),"")</f>
        <v>46173</v>
      </c>
      <c r="R91" s="17" t="str">
        <f>TEXT(B91,"dddd")</f>
        <v>Friday</v>
      </c>
    </row>
    <row r="92" spans="1:18">
      <c r="A92" s="5" t="s">
        <v>99</v>
      </c>
      <c r="B92" s="8">
        <v>46061</v>
      </c>
      <c r="C92" s="5" t="s">
        <v>6</v>
      </c>
      <c r="D92" s="5" t="s">
        <v>968</v>
      </c>
      <c r="E92" s="5" t="s">
        <v>980</v>
      </c>
      <c r="F92" s="5" t="s">
        <v>965</v>
      </c>
      <c r="G92" s="5">
        <v>1</v>
      </c>
      <c r="H92" s="5" t="s">
        <v>963</v>
      </c>
      <c r="I92" s="13">
        <v>551286452</v>
      </c>
      <c r="J92" s="10" t="s">
        <v>1075</v>
      </c>
      <c r="K92" t="str">
        <f>LEFT(C92,FIND(" ",C92)-1)&amp;"-"&amp;E92&amp;" "&amp;"Filialina çardırılma"</f>
        <v>Zaur-Sumqayit Filialina çardırılma</v>
      </c>
      <c r="L92">
        <f>VLOOKUP(D92,Anbar!$A$2:$B$5,2,FALSE)</f>
        <v>400</v>
      </c>
      <c r="M92">
        <f>VLOOKUP(D92,Anbar!$A$2:$C$5,3,FALSE)</f>
        <v>650</v>
      </c>
      <c r="N92">
        <f t="shared" si="2"/>
        <v>650</v>
      </c>
      <c r="O92">
        <f t="shared" si="3"/>
        <v>250</v>
      </c>
      <c r="P92" t="str">
        <f>IF(AND(F92="Nağd",G92&gt;5),M92*0.9,"0%")</f>
        <v>0%</v>
      </c>
      <c r="Q92" s="9" t="str">
        <f>IF(F92="Kredit",EOMONTH(B92,0),"")</f>
        <v/>
      </c>
      <c r="R92" s="17" t="str">
        <f>TEXT(B92,"dddd")</f>
        <v>Sunday</v>
      </c>
    </row>
    <row r="93" spans="1:18">
      <c r="A93" s="5" t="s">
        <v>100</v>
      </c>
      <c r="B93" s="8">
        <v>46043</v>
      </c>
      <c r="C93" s="5" t="s">
        <v>977</v>
      </c>
      <c r="D93" s="5" t="s">
        <v>971</v>
      </c>
      <c r="E93" s="5" t="s">
        <v>980</v>
      </c>
      <c r="F93" s="5" t="s">
        <v>965</v>
      </c>
      <c r="G93" s="5">
        <v>10</v>
      </c>
      <c r="H93" s="5" t="s">
        <v>963</v>
      </c>
      <c r="I93" s="13">
        <v>702905484</v>
      </c>
      <c r="J93" s="10" t="s">
        <v>1076</v>
      </c>
      <c r="K93" t="str">
        <f>LEFT(C93,FIND(" ",C93)-1)&amp;"-"&amp;E93&amp;" "&amp;"Filialina çardırılma"</f>
        <v>Elnur-Sumqayit Filialina çardırılma</v>
      </c>
      <c r="L93">
        <f>VLOOKUP(D93,Anbar!$A$2:$B$5,2,FALSE)</f>
        <v>1200</v>
      </c>
      <c r="M93">
        <f>VLOOKUP(D93,Anbar!$A$2:$C$5,3,FALSE)</f>
        <v>1800</v>
      </c>
      <c r="N93">
        <f t="shared" si="2"/>
        <v>18000</v>
      </c>
      <c r="O93">
        <f t="shared" si="3"/>
        <v>6000</v>
      </c>
      <c r="P93">
        <f>IF(AND(F93="Nağd",G93&gt;5),M93*0.9,"0%")</f>
        <v>1620</v>
      </c>
      <c r="Q93" s="9" t="str">
        <f>IF(F93="Kredit",EOMONTH(B93,0),"")</f>
        <v/>
      </c>
      <c r="R93" s="17" t="str">
        <f>TEXT(B93,"dddd")</f>
        <v>Wednesday</v>
      </c>
    </row>
    <row r="94" spans="1:18">
      <c r="A94" s="5" t="s">
        <v>101</v>
      </c>
      <c r="B94" s="8">
        <v>46178</v>
      </c>
      <c r="C94" s="5" t="s">
        <v>975</v>
      </c>
      <c r="D94" s="5" t="s">
        <v>15</v>
      </c>
      <c r="E94" s="5" t="s">
        <v>964</v>
      </c>
      <c r="F94" s="5" t="s">
        <v>4</v>
      </c>
      <c r="G94" s="5">
        <v>10</v>
      </c>
      <c r="H94" s="5" t="s">
        <v>963</v>
      </c>
      <c r="I94" s="13">
        <v>559166749</v>
      </c>
      <c r="J94" s="10" t="s">
        <v>1077</v>
      </c>
      <c r="K94" t="str">
        <f>LEFT(C94,FIND(" ",C94)-1)&amp;"-"&amp;E94&amp;" "&amp;"Filialina çardırılma"</f>
        <v>Murad-Sumqayıt Filialina çardırılma</v>
      </c>
      <c r="L94">
        <f>VLOOKUP(D94,Anbar!$A$2:$B$5,2,FALSE)</f>
        <v>600</v>
      </c>
      <c r="M94">
        <f>VLOOKUP(D94,Anbar!$A$2:$C$5,3,FALSE)</f>
        <v>950</v>
      </c>
      <c r="N94">
        <f t="shared" si="2"/>
        <v>9500</v>
      </c>
      <c r="O94">
        <f t="shared" si="3"/>
        <v>3500</v>
      </c>
      <c r="P94" t="str">
        <f>IF(AND(F94="Nağd",G94&gt;5),M94*0.9,"0%")</f>
        <v>0%</v>
      </c>
      <c r="Q94" s="9">
        <f>IF(F94="Kredit",EOMONTH(B94,0),"")</f>
        <v>46203</v>
      </c>
      <c r="R94" s="17" t="str">
        <f>TEXT(B94,"dddd")</f>
        <v>Friday</v>
      </c>
    </row>
    <row r="95" spans="1:18">
      <c r="A95" s="5" t="s">
        <v>102</v>
      </c>
      <c r="B95" s="8">
        <v>46173</v>
      </c>
      <c r="C95" s="5" t="s">
        <v>976</v>
      </c>
      <c r="D95" s="5" t="s">
        <v>971</v>
      </c>
      <c r="E95" s="5" t="s">
        <v>966</v>
      </c>
      <c r="F95" s="5" t="s">
        <v>4</v>
      </c>
      <c r="G95" s="5">
        <v>1</v>
      </c>
      <c r="H95" s="5" t="s">
        <v>963</v>
      </c>
      <c r="I95" s="13">
        <v>510616306</v>
      </c>
      <c r="J95" s="10" t="s">
        <v>1078</v>
      </c>
      <c r="K95" t="str">
        <f>LEFT(C95,FIND(" ",C95)-1)&amp;"-"&amp;E95&amp;" "&amp;"Filialina çardırılma"</f>
        <v>Nərgin-Bakı Filialina çardırılma</v>
      </c>
      <c r="L95">
        <f>VLOOKUP(D95,Anbar!$A$2:$B$5,2,FALSE)</f>
        <v>1200</v>
      </c>
      <c r="M95">
        <f>VLOOKUP(D95,Anbar!$A$2:$C$5,3,FALSE)</f>
        <v>1800</v>
      </c>
      <c r="N95">
        <f t="shared" si="2"/>
        <v>1800</v>
      </c>
      <c r="O95">
        <f t="shared" si="3"/>
        <v>600</v>
      </c>
      <c r="P95" t="str">
        <f>IF(AND(F95="Nağd",G95&gt;5),M95*0.9,"0%")</f>
        <v>0%</v>
      </c>
      <c r="Q95" s="9">
        <f>IF(F95="Kredit",EOMONTH(B95,0),"")</f>
        <v>46173</v>
      </c>
      <c r="R95" s="17" t="str">
        <f>TEXT(B95,"dddd")</f>
        <v>Sunday</v>
      </c>
    </row>
    <row r="96" spans="1:18">
      <c r="A96" s="5" t="s">
        <v>103</v>
      </c>
      <c r="B96" s="8">
        <v>46069</v>
      </c>
      <c r="C96" s="5" t="s">
        <v>977</v>
      </c>
      <c r="D96" s="5" t="s">
        <v>971</v>
      </c>
      <c r="E96" s="5" t="s">
        <v>964</v>
      </c>
      <c r="F96" s="5" t="s">
        <v>4</v>
      </c>
      <c r="G96" s="5">
        <v>5</v>
      </c>
      <c r="H96" s="5" t="s">
        <v>963</v>
      </c>
      <c r="I96" s="13">
        <v>708387353</v>
      </c>
      <c r="J96" s="10" t="s">
        <v>1079</v>
      </c>
      <c r="K96" t="str">
        <f>LEFT(C96,FIND(" ",C96)-1)&amp;"-"&amp;E96&amp;" "&amp;"Filialina çardırılma"</f>
        <v>Elnur-Sumqayıt Filialina çardırılma</v>
      </c>
      <c r="L96">
        <f>VLOOKUP(D96,Anbar!$A$2:$B$5,2,FALSE)</f>
        <v>1200</v>
      </c>
      <c r="M96">
        <f>VLOOKUP(D96,Anbar!$A$2:$C$5,3,FALSE)</f>
        <v>1800</v>
      </c>
      <c r="N96">
        <f t="shared" si="2"/>
        <v>9000</v>
      </c>
      <c r="O96">
        <f t="shared" si="3"/>
        <v>3000</v>
      </c>
      <c r="P96" t="str">
        <f>IF(AND(F96="Nağd",G96&gt;5),M96*0.9,"0%")</f>
        <v>0%</v>
      </c>
      <c r="Q96" s="9">
        <f>IF(F96="Kredit",EOMONTH(B96,0),"")</f>
        <v>46081</v>
      </c>
      <c r="R96" s="17" t="str">
        <f>TEXT(B96,"dddd")</f>
        <v>Monday</v>
      </c>
    </row>
    <row r="97" spans="1:18">
      <c r="A97" s="5" t="s">
        <v>104</v>
      </c>
      <c r="B97" s="8">
        <v>46065</v>
      </c>
      <c r="C97" s="5" t="s">
        <v>977</v>
      </c>
      <c r="D97" s="5" t="s">
        <v>15</v>
      </c>
      <c r="E97" s="5" t="s">
        <v>982</v>
      </c>
      <c r="F97" s="5" t="s">
        <v>4</v>
      </c>
      <c r="G97" s="5">
        <v>6</v>
      </c>
      <c r="H97" s="5" t="s">
        <v>963</v>
      </c>
      <c r="I97" s="13">
        <v>772112159</v>
      </c>
      <c r="J97" s="10" t="s">
        <v>1080</v>
      </c>
      <c r="K97" t="str">
        <f>LEFT(C97,FIND(" ",C97)-1)&amp;"-"&amp;E97&amp;" "&amp;"Filialina çardırılma"</f>
        <v>Elnur-Baki Filialina çardırılma</v>
      </c>
      <c r="L97">
        <f>VLOOKUP(D97,Anbar!$A$2:$B$5,2,FALSE)</f>
        <v>600</v>
      </c>
      <c r="M97">
        <f>VLOOKUP(D97,Anbar!$A$2:$C$5,3,FALSE)</f>
        <v>950</v>
      </c>
      <c r="N97">
        <f t="shared" si="2"/>
        <v>5700</v>
      </c>
      <c r="O97">
        <f t="shared" si="3"/>
        <v>2100</v>
      </c>
      <c r="P97" t="str">
        <f>IF(AND(F97="Nağd",G97&gt;5),M97*0.9,"0%")</f>
        <v>0%</v>
      </c>
      <c r="Q97" s="9">
        <f>IF(F97="Kredit",EOMONTH(B97,0),"")</f>
        <v>46081</v>
      </c>
      <c r="R97" s="17" t="str">
        <f>TEXT(B97,"dddd")</f>
        <v>Thursday</v>
      </c>
    </row>
    <row r="98" spans="1:18">
      <c r="A98" s="5" t="s">
        <v>105</v>
      </c>
      <c r="B98" s="8">
        <v>46071</v>
      </c>
      <c r="C98" s="5" t="s">
        <v>976</v>
      </c>
      <c r="D98" s="5" t="s">
        <v>20</v>
      </c>
      <c r="E98" s="5" t="s">
        <v>964</v>
      </c>
      <c r="F98" s="5" t="s">
        <v>4</v>
      </c>
      <c r="G98" s="5">
        <v>7</v>
      </c>
      <c r="H98" s="5" t="s">
        <v>963</v>
      </c>
      <c r="I98" s="13">
        <v>509269334</v>
      </c>
      <c r="J98" s="10" t="s">
        <v>1081</v>
      </c>
      <c r="K98" t="str">
        <f>LEFT(C98,FIND(" ",C98)-1)&amp;"-"&amp;E98&amp;" "&amp;"Filialina çardırılma"</f>
        <v>Nərgin-Sumqayıt Filialina çardırılma</v>
      </c>
      <c r="L98">
        <f>VLOOKUP(D98,Anbar!$A$2:$B$5,2,FALSE)</f>
        <v>15</v>
      </c>
      <c r="M98">
        <f>VLOOKUP(D98,Anbar!$A$2:$C$5,3,FALSE)</f>
        <v>45</v>
      </c>
      <c r="N98">
        <f t="shared" si="2"/>
        <v>315</v>
      </c>
      <c r="O98">
        <f t="shared" si="3"/>
        <v>210</v>
      </c>
      <c r="P98" t="str">
        <f>IF(AND(F98="Nağd",G98&gt;5),M98*0.9,"0%")</f>
        <v>0%</v>
      </c>
      <c r="Q98" s="9">
        <f>IF(F98="Kredit",EOMONTH(B98,0),"")</f>
        <v>46081</v>
      </c>
      <c r="R98" s="17" t="str">
        <f>TEXT(B98,"dddd")</f>
        <v>Wednesday</v>
      </c>
    </row>
    <row r="99" spans="1:18">
      <c r="A99" s="5" t="s">
        <v>106</v>
      </c>
      <c r="B99" s="8">
        <v>46142</v>
      </c>
      <c r="C99" s="5" t="s">
        <v>978</v>
      </c>
      <c r="D99" s="5" t="s">
        <v>15</v>
      </c>
      <c r="E99" s="5" t="s">
        <v>980</v>
      </c>
      <c r="F99" s="5" t="s">
        <v>4</v>
      </c>
      <c r="G99" s="5">
        <v>10</v>
      </c>
      <c r="H99" s="5" t="s">
        <v>963</v>
      </c>
      <c r="I99" s="13">
        <v>502903723</v>
      </c>
      <c r="J99" s="10" t="s">
        <v>1082</v>
      </c>
      <c r="K99" t="str">
        <f>LEFT(C99,FIND(" ",C99)-1)&amp;"-"&amp;E99&amp;" "&amp;"Filialina çardırılma"</f>
        <v>Əli-Sumqayit Filialina çardırılma</v>
      </c>
      <c r="L99">
        <f>VLOOKUP(D99,Anbar!$A$2:$B$5,2,FALSE)</f>
        <v>600</v>
      </c>
      <c r="M99">
        <f>VLOOKUP(D99,Anbar!$A$2:$C$5,3,FALSE)</f>
        <v>950</v>
      </c>
      <c r="N99">
        <f t="shared" si="2"/>
        <v>9500</v>
      </c>
      <c r="O99">
        <f t="shared" si="3"/>
        <v>3500</v>
      </c>
      <c r="P99" t="str">
        <f>IF(AND(F99="Nağd",G99&gt;5),M99*0.9,"0%")</f>
        <v>0%</v>
      </c>
      <c r="Q99" s="9">
        <f>IF(F99="Kredit",EOMONTH(B99,0),"")</f>
        <v>46142</v>
      </c>
      <c r="R99" s="17" t="str">
        <f>TEXT(B99,"dddd")</f>
        <v>Thursday</v>
      </c>
    </row>
    <row r="100" spans="1:18">
      <c r="A100" s="5" t="s">
        <v>107</v>
      </c>
      <c r="B100" s="8">
        <v>46041</v>
      </c>
      <c r="C100" s="5" t="s">
        <v>979</v>
      </c>
      <c r="D100" s="5" t="s">
        <v>15</v>
      </c>
      <c r="E100" s="5" t="s">
        <v>980</v>
      </c>
      <c r="F100" s="5" t="s">
        <v>965</v>
      </c>
      <c r="G100" s="5">
        <v>3</v>
      </c>
      <c r="H100" s="5" t="s">
        <v>963</v>
      </c>
      <c r="I100" s="13">
        <v>506674719</v>
      </c>
      <c r="J100" s="10" t="s">
        <v>1083</v>
      </c>
      <c r="K100" t="str">
        <f>LEFT(C100,FIND(" ",C100)-1)&amp;"-"&amp;E100&amp;" "&amp;"Filialina çardırılma"</f>
        <v>Leyla-Sumqayit Filialina çardırılma</v>
      </c>
      <c r="L100">
        <f>VLOOKUP(D100,Anbar!$A$2:$B$5,2,FALSE)</f>
        <v>600</v>
      </c>
      <c r="M100">
        <f>VLOOKUP(D100,Anbar!$A$2:$C$5,3,FALSE)</f>
        <v>950</v>
      </c>
      <c r="N100">
        <f t="shared" si="2"/>
        <v>2850</v>
      </c>
      <c r="O100">
        <f t="shared" si="3"/>
        <v>1050</v>
      </c>
      <c r="P100" t="str">
        <f>IF(AND(F100="Nağd",G100&gt;5),M100*0.9,"0%")</f>
        <v>0%</v>
      </c>
      <c r="Q100" s="9" t="str">
        <f>IF(F100="Kredit",EOMONTH(B100,0),"")</f>
        <v/>
      </c>
      <c r="R100" s="17" t="str">
        <f>TEXT(B100,"dddd")</f>
        <v>Monday</v>
      </c>
    </row>
    <row r="101" spans="1:18">
      <c r="A101" s="5" t="s">
        <v>108</v>
      </c>
      <c r="B101" s="8">
        <v>46066</v>
      </c>
      <c r="C101" s="5" t="s">
        <v>976</v>
      </c>
      <c r="D101" s="5" t="s">
        <v>20</v>
      </c>
      <c r="E101" s="5" t="s">
        <v>982</v>
      </c>
      <c r="F101" s="5" t="s">
        <v>4</v>
      </c>
      <c r="G101" s="5">
        <v>4</v>
      </c>
      <c r="H101" s="5" t="s">
        <v>963</v>
      </c>
      <c r="I101" s="13">
        <v>504949477</v>
      </c>
      <c r="J101" s="10" t="s">
        <v>1084</v>
      </c>
      <c r="K101" t="str">
        <f>LEFT(C101,FIND(" ",C101)-1)&amp;"-"&amp;E101&amp;" "&amp;"Filialina çardırılma"</f>
        <v>Nərgin-Baki Filialina çardırılma</v>
      </c>
      <c r="L101">
        <f>VLOOKUP(D101,Anbar!$A$2:$B$5,2,FALSE)</f>
        <v>15</v>
      </c>
      <c r="M101">
        <f>VLOOKUP(D101,Anbar!$A$2:$C$5,3,FALSE)</f>
        <v>45</v>
      </c>
      <c r="N101">
        <f t="shared" si="2"/>
        <v>180</v>
      </c>
      <c r="O101">
        <f t="shared" si="3"/>
        <v>120</v>
      </c>
      <c r="P101" t="str">
        <f>IF(AND(F101="Nağd",G101&gt;5),M101*0.9,"0%")</f>
        <v>0%</v>
      </c>
      <c r="Q101" s="9">
        <f>IF(F101="Kredit",EOMONTH(B101,0),"")</f>
        <v>46081</v>
      </c>
      <c r="R101" s="17" t="str">
        <f>TEXT(B101,"dddd")</f>
        <v>Friday</v>
      </c>
    </row>
    <row r="102" spans="1:18">
      <c r="A102" s="5" t="s">
        <v>109</v>
      </c>
      <c r="B102" s="8">
        <v>46126</v>
      </c>
      <c r="C102" s="5" t="s">
        <v>979</v>
      </c>
      <c r="D102" s="5" t="s">
        <v>20</v>
      </c>
      <c r="E102" s="5" t="s">
        <v>980</v>
      </c>
      <c r="F102" s="5" t="s">
        <v>7</v>
      </c>
      <c r="G102" s="5">
        <v>6</v>
      </c>
      <c r="H102" s="5" t="s">
        <v>963</v>
      </c>
      <c r="I102" s="13">
        <v>512726619</v>
      </c>
      <c r="J102" s="10" t="s">
        <v>1085</v>
      </c>
      <c r="K102" t="str">
        <f>LEFT(C102,FIND(" ",C102)-1)&amp;"-"&amp;E102&amp;" "&amp;"Filialina çardırılma"</f>
        <v>Leyla-Sumqayit Filialina çardırılma</v>
      </c>
      <c r="L102">
        <f>VLOOKUP(D102,Anbar!$A$2:$B$5,2,FALSE)</f>
        <v>15</v>
      </c>
      <c r="M102">
        <f>VLOOKUP(D102,Anbar!$A$2:$C$5,3,FALSE)</f>
        <v>45</v>
      </c>
      <c r="N102">
        <f t="shared" si="2"/>
        <v>270</v>
      </c>
      <c r="O102">
        <f t="shared" si="3"/>
        <v>180</v>
      </c>
      <c r="P102" t="str">
        <f>IF(AND(F102="Nağd",G102&gt;5),M102*0.9,"0%")</f>
        <v>0%</v>
      </c>
      <c r="Q102" s="9" t="str">
        <f>IF(F102="Kredit",EOMONTH(B102,0),"")</f>
        <v/>
      </c>
      <c r="R102" s="17" t="str">
        <f>TEXT(B102,"dddd")</f>
        <v>Tuesday</v>
      </c>
    </row>
    <row r="103" spans="1:18">
      <c r="A103" s="5" t="s">
        <v>110</v>
      </c>
      <c r="B103" s="8">
        <v>46159</v>
      </c>
      <c r="C103" s="5" t="s">
        <v>6</v>
      </c>
      <c r="D103" s="5" t="s">
        <v>15</v>
      </c>
      <c r="E103" s="5" t="s">
        <v>981</v>
      </c>
      <c r="F103" s="5" t="s">
        <v>4</v>
      </c>
      <c r="G103" s="5">
        <v>1</v>
      </c>
      <c r="H103" s="5" t="s">
        <v>963</v>
      </c>
      <c r="I103" s="13">
        <v>704056832</v>
      </c>
      <c r="J103" s="10" t="s">
        <v>1086</v>
      </c>
      <c r="K103" t="str">
        <f>LEFT(C103,FIND(" ",C103)-1)&amp;"-"&amp;E103&amp;" "&amp;"Filialina çardırılma"</f>
        <v>Zaur-Gəncə Filialina çardırılma</v>
      </c>
      <c r="L103">
        <f>VLOOKUP(D103,Anbar!$A$2:$B$5,2,FALSE)</f>
        <v>600</v>
      </c>
      <c r="M103">
        <f>VLOOKUP(D103,Anbar!$A$2:$C$5,3,FALSE)</f>
        <v>950</v>
      </c>
      <c r="N103">
        <f t="shared" si="2"/>
        <v>950</v>
      </c>
      <c r="O103">
        <f t="shared" si="3"/>
        <v>350</v>
      </c>
      <c r="P103" t="str">
        <f>IF(AND(F103="Nağd",G103&gt;5),M103*0.9,"0%")</f>
        <v>0%</v>
      </c>
      <c r="Q103" s="9">
        <f>IF(F103="Kredit",EOMONTH(B103,0),"")</f>
        <v>46173</v>
      </c>
      <c r="R103" s="17" t="str">
        <f>TEXT(B103,"dddd")</f>
        <v>Sunday</v>
      </c>
    </row>
    <row r="104" spans="1:18">
      <c r="A104" s="5" t="s">
        <v>111</v>
      </c>
      <c r="B104" s="8">
        <v>46151</v>
      </c>
      <c r="C104" s="5" t="s">
        <v>967</v>
      </c>
      <c r="D104" s="5" t="s">
        <v>20</v>
      </c>
      <c r="E104" s="5" t="s">
        <v>964</v>
      </c>
      <c r="F104" s="5" t="s">
        <v>4</v>
      </c>
      <c r="G104" s="5">
        <v>5</v>
      </c>
      <c r="H104" s="5" t="s">
        <v>963</v>
      </c>
      <c r="I104" s="13">
        <v>709791372</v>
      </c>
      <c r="J104" s="10" t="s">
        <v>1087</v>
      </c>
      <c r="K104" t="str">
        <f>LEFT(C104,FIND(" ",C104)-1)&amp;"-"&amp;E104&amp;" "&amp;"Filialina çardırılma"</f>
        <v>Aysel-Sumqayıt Filialina çardırılma</v>
      </c>
      <c r="L104">
        <f>VLOOKUP(D104,Anbar!$A$2:$B$5,2,FALSE)</f>
        <v>15</v>
      </c>
      <c r="M104">
        <f>VLOOKUP(D104,Anbar!$A$2:$C$5,3,FALSE)</f>
        <v>45</v>
      </c>
      <c r="N104">
        <f t="shared" si="2"/>
        <v>225</v>
      </c>
      <c r="O104">
        <f t="shared" si="3"/>
        <v>150</v>
      </c>
      <c r="P104" t="str">
        <f>IF(AND(F104="Nağd",G104&gt;5),M104*0.9,"0%")</f>
        <v>0%</v>
      </c>
      <c r="Q104" s="9">
        <f>IF(F104="Kredit",EOMONTH(B104,0),"")</f>
        <v>46173</v>
      </c>
      <c r="R104" s="17" t="str">
        <f>TEXT(B104,"dddd")</f>
        <v>Saturday</v>
      </c>
    </row>
    <row r="105" spans="1:18">
      <c r="A105" s="5" t="s">
        <v>112</v>
      </c>
      <c r="B105" s="8">
        <v>46097</v>
      </c>
      <c r="C105" s="5" t="s">
        <v>967</v>
      </c>
      <c r="D105" s="5" t="s">
        <v>20</v>
      </c>
      <c r="E105" s="5" t="s">
        <v>9</v>
      </c>
      <c r="F105" s="5" t="s">
        <v>965</v>
      </c>
      <c r="G105" s="5">
        <v>7</v>
      </c>
      <c r="H105" s="5" t="s">
        <v>963</v>
      </c>
      <c r="I105" s="13">
        <v>507794914</v>
      </c>
      <c r="J105" s="10" t="s">
        <v>1088</v>
      </c>
      <c r="K105" t="str">
        <f>LEFT(C105,FIND(" ",C105)-1)&amp;"-"&amp;E105&amp;" "&amp;"Filialina çardırılma"</f>
        <v>Aysel-Gence Filialina çardırılma</v>
      </c>
      <c r="L105">
        <f>VLOOKUP(D105,Anbar!$A$2:$B$5,2,FALSE)</f>
        <v>15</v>
      </c>
      <c r="M105">
        <f>VLOOKUP(D105,Anbar!$A$2:$C$5,3,FALSE)</f>
        <v>45</v>
      </c>
      <c r="N105">
        <f t="shared" si="2"/>
        <v>315</v>
      </c>
      <c r="O105">
        <f t="shared" si="3"/>
        <v>210</v>
      </c>
      <c r="P105">
        <f>IF(AND(F105="Nağd",G105&gt;5),M105*0.9,"0%")</f>
        <v>40.5</v>
      </c>
      <c r="Q105" s="9" t="str">
        <f>IF(F105="Kredit",EOMONTH(B105,0),"")</f>
        <v/>
      </c>
      <c r="R105" s="17" t="str">
        <f>TEXT(B105,"dddd")</f>
        <v>Monday</v>
      </c>
    </row>
    <row r="106" spans="1:18">
      <c r="A106" s="5" t="s">
        <v>113</v>
      </c>
      <c r="B106" s="8">
        <v>46162</v>
      </c>
      <c r="C106" s="5" t="s">
        <v>974</v>
      </c>
      <c r="D106" s="5" t="s">
        <v>20</v>
      </c>
      <c r="E106" s="5" t="s">
        <v>983</v>
      </c>
      <c r="F106" s="5" t="s">
        <v>7</v>
      </c>
      <c r="G106" s="5">
        <v>5</v>
      </c>
      <c r="H106" s="5" t="s">
        <v>963</v>
      </c>
      <c r="I106" s="13">
        <v>510827974</v>
      </c>
      <c r="J106" s="10" t="s">
        <v>1089</v>
      </c>
      <c r="K106" t="str">
        <f>LEFT(C106,FIND(" ",C106)-1)&amp;"-"&amp;E106&amp;" "&amp;"Filialina çardırılma"</f>
        <v>Ramil-Naməlum Filialina çardırılma</v>
      </c>
      <c r="L106">
        <f>VLOOKUP(D106,Anbar!$A$2:$B$5,2,FALSE)</f>
        <v>15</v>
      </c>
      <c r="M106">
        <f>VLOOKUP(D106,Anbar!$A$2:$C$5,3,FALSE)</f>
        <v>45</v>
      </c>
      <c r="N106">
        <f t="shared" si="2"/>
        <v>225</v>
      </c>
      <c r="O106">
        <f t="shared" si="3"/>
        <v>150</v>
      </c>
      <c r="P106" t="str">
        <f>IF(AND(F106="Nağd",G106&gt;5),M106*0.9,"0%")</f>
        <v>0%</v>
      </c>
      <c r="Q106" s="9" t="str">
        <f>IF(F106="Kredit",EOMONTH(B106,0),"")</f>
        <v/>
      </c>
      <c r="R106" s="17" t="str">
        <f>TEXT(B106,"dddd")</f>
        <v>Wednesday</v>
      </c>
    </row>
    <row r="107" spans="1:18">
      <c r="A107" s="5" t="s">
        <v>114</v>
      </c>
      <c r="B107" s="8">
        <v>46114</v>
      </c>
      <c r="C107" s="5" t="s">
        <v>6</v>
      </c>
      <c r="D107" s="5" t="s">
        <v>971</v>
      </c>
      <c r="E107" s="5" t="s">
        <v>980</v>
      </c>
      <c r="F107" s="5" t="s">
        <v>4</v>
      </c>
      <c r="G107" s="5">
        <v>8</v>
      </c>
      <c r="H107" s="5" t="s">
        <v>963</v>
      </c>
      <c r="I107" s="13">
        <v>516484466</v>
      </c>
      <c r="J107" s="10" t="s">
        <v>1090</v>
      </c>
      <c r="K107" t="str">
        <f>LEFT(C107,FIND(" ",C107)-1)&amp;"-"&amp;E107&amp;" "&amp;"Filialina çardırılma"</f>
        <v>Zaur-Sumqayit Filialina çardırılma</v>
      </c>
      <c r="L107">
        <f>VLOOKUP(D107,Anbar!$A$2:$B$5,2,FALSE)</f>
        <v>1200</v>
      </c>
      <c r="M107">
        <f>VLOOKUP(D107,Anbar!$A$2:$C$5,3,FALSE)</f>
        <v>1800</v>
      </c>
      <c r="N107">
        <f t="shared" si="2"/>
        <v>14400</v>
      </c>
      <c r="O107">
        <f t="shared" si="3"/>
        <v>4800</v>
      </c>
      <c r="P107" t="str">
        <f>IF(AND(F107="Nağd",G107&gt;5),M107*0.9,"0%")</f>
        <v>0%</v>
      </c>
      <c r="Q107" s="9">
        <f>IF(F107="Kredit",EOMONTH(B107,0),"")</f>
        <v>46142</v>
      </c>
      <c r="R107" s="17" t="str">
        <f>TEXT(B107,"dddd")</f>
        <v>Thursday</v>
      </c>
    </row>
    <row r="108" spans="1:18">
      <c r="A108" s="5" t="s">
        <v>115</v>
      </c>
      <c r="B108" s="8">
        <v>46033</v>
      </c>
      <c r="C108" s="5" t="s">
        <v>978</v>
      </c>
      <c r="D108" s="5" t="s">
        <v>15</v>
      </c>
      <c r="E108" s="5" t="s">
        <v>964</v>
      </c>
      <c r="F108" s="5" t="s">
        <v>965</v>
      </c>
      <c r="G108" s="5">
        <v>3</v>
      </c>
      <c r="H108" s="5" t="s">
        <v>963</v>
      </c>
      <c r="I108" s="13">
        <v>554957288</v>
      </c>
      <c r="J108" s="10" t="s">
        <v>1091</v>
      </c>
      <c r="K108" t="str">
        <f>LEFT(C108,FIND(" ",C108)-1)&amp;"-"&amp;E108&amp;" "&amp;"Filialina çardırılma"</f>
        <v>Əli-Sumqayıt Filialina çardırılma</v>
      </c>
      <c r="L108">
        <f>VLOOKUP(D108,Anbar!$A$2:$B$5,2,FALSE)</f>
        <v>600</v>
      </c>
      <c r="M108">
        <f>VLOOKUP(D108,Anbar!$A$2:$C$5,3,FALSE)</f>
        <v>950</v>
      </c>
      <c r="N108">
        <f t="shared" si="2"/>
        <v>2850</v>
      </c>
      <c r="O108">
        <f t="shared" si="3"/>
        <v>1050</v>
      </c>
      <c r="P108" t="str">
        <f>IF(AND(F108="Nağd",G108&gt;5),M108*0.9,"0%")</f>
        <v>0%</v>
      </c>
      <c r="Q108" s="9" t="str">
        <f>IF(F108="Kredit",EOMONTH(B108,0),"")</f>
        <v/>
      </c>
      <c r="R108" s="17" t="str">
        <f>TEXT(B108,"dddd")</f>
        <v>Sunday</v>
      </c>
    </row>
    <row r="109" spans="1:18">
      <c r="A109" s="5" t="s">
        <v>116</v>
      </c>
      <c r="B109" s="8">
        <v>46060</v>
      </c>
      <c r="C109" s="5" t="s">
        <v>974</v>
      </c>
      <c r="D109" s="5" t="s">
        <v>971</v>
      </c>
      <c r="E109" s="5" t="s">
        <v>964</v>
      </c>
      <c r="F109" s="5" t="s">
        <v>7</v>
      </c>
      <c r="G109" s="5">
        <v>2</v>
      </c>
      <c r="H109" s="5" t="s">
        <v>963</v>
      </c>
      <c r="I109" s="13">
        <v>770982246</v>
      </c>
      <c r="J109" s="10" t="s">
        <v>1092</v>
      </c>
      <c r="K109" t="str">
        <f>LEFT(C109,FIND(" ",C109)-1)&amp;"-"&amp;E109&amp;" "&amp;"Filialina çardırılma"</f>
        <v>Ramil-Sumqayıt Filialina çardırılma</v>
      </c>
      <c r="L109">
        <f>VLOOKUP(D109,Anbar!$A$2:$B$5,2,FALSE)</f>
        <v>1200</v>
      </c>
      <c r="M109">
        <f>VLOOKUP(D109,Anbar!$A$2:$C$5,3,FALSE)</f>
        <v>1800</v>
      </c>
      <c r="N109">
        <f t="shared" si="2"/>
        <v>3600</v>
      </c>
      <c r="O109">
        <f t="shared" si="3"/>
        <v>1200</v>
      </c>
      <c r="P109" t="str">
        <f>IF(AND(F109="Nağd",G109&gt;5),M109*0.9,"0%")</f>
        <v>0%</v>
      </c>
      <c r="Q109" s="9" t="str">
        <f>IF(F109="Kredit",EOMONTH(B109,0),"")</f>
        <v/>
      </c>
      <c r="R109" s="17" t="str">
        <f>TEXT(B109,"dddd")</f>
        <v>Saturday</v>
      </c>
    </row>
    <row r="110" spans="1:18">
      <c r="A110" s="5" t="s">
        <v>117</v>
      </c>
      <c r="B110" s="8">
        <v>46090</v>
      </c>
      <c r="C110" s="5" t="s">
        <v>967</v>
      </c>
      <c r="D110" s="5" t="s">
        <v>15</v>
      </c>
      <c r="E110" s="5" t="s">
        <v>982</v>
      </c>
      <c r="F110" s="5" t="s">
        <v>4</v>
      </c>
      <c r="G110" s="5">
        <v>1</v>
      </c>
      <c r="H110" s="5" t="s">
        <v>963</v>
      </c>
      <c r="I110" s="13">
        <v>504410309</v>
      </c>
      <c r="J110" s="10" t="s">
        <v>1093</v>
      </c>
      <c r="K110" t="str">
        <f>LEFT(C110,FIND(" ",C110)-1)&amp;"-"&amp;E110&amp;" "&amp;"Filialina çardırılma"</f>
        <v>Aysel-Baki Filialina çardırılma</v>
      </c>
      <c r="L110">
        <f>VLOOKUP(D110,Anbar!$A$2:$B$5,2,FALSE)</f>
        <v>600</v>
      </c>
      <c r="M110">
        <f>VLOOKUP(D110,Anbar!$A$2:$C$5,3,FALSE)</f>
        <v>950</v>
      </c>
      <c r="N110">
        <f t="shared" si="2"/>
        <v>950</v>
      </c>
      <c r="O110">
        <f t="shared" si="3"/>
        <v>350</v>
      </c>
      <c r="P110" t="str">
        <f>IF(AND(F110="Nağd",G110&gt;5),M110*0.9,"0%")</f>
        <v>0%</v>
      </c>
      <c r="Q110" s="9">
        <f>IF(F110="Kredit",EOMONTH(B110,0),"")</f>
        <v>46112</v>
      </c>
      <c r="R110" s="17" t="str">
        <f>TEXT(B110,"dddd")</f>
        <v>Monday</v>
      </c>
    </row>
    <row r="111" spans="1:18">
      <c r="A111" s="5" t="s">
        <v>118</v>
      </c>
      <c r="B111" s="8">
        <v>46085</v>
      </c>
      <c r="C111" s="5" t="s">
        <v>976</v>
      </c>
      <c r="D111" s="5" t="s">
        <v>15</v>
      </c>
      <c r="E111" s="5" t="s">
        <v>982</v>
      </c>
      <c r="F111" s="5" t="s">
        <v>965</v>
      </c>
      <c r="G111" s="5">
        <v>10</v>
      </c>
      <c r="H111" s="5" t="s">
        <v>963</v>
      </c>
      <c r="I111" s="13">
        <v>551625859</v>
      </c>
      <c r="J111" s="10" t="s">
        <v>1094</v>
      </c>
      <c r="K111" t="str">
        <f>LEFT(C111,FIND(" ",C111)-1)&amp;"-"&amp;E111&amp;" "&amp;"Filialina çardırılma"</f>
        <v>Nərgin-Baki Filialina çardırılma</v>
      </c>
      <c r="L111">
        <f>VLOOKUP(D111,Anbar!$A$2:$B$5,2,FALSE)</f>
        <v>600</v>
      </c>
      <c r="M111">
        <f>VLOOKUP(D111,Anbar!$A$2:$C$5,3,FALSE)</f>
        <v>950</v>
      </c>
      <c r="N111">
        <f t="shared" si="2"/>
        <v>9500</v>
      </c>
      <c r="O111">
        <f t="shared" si="3"/>
        <v>3500</v>
      </c>
      <c r="P111">
        <f>IF(AND(F111="Nağd",G111&gt;5),M111*0.9,"0%")</f>
        <v>855</v>
      </c>
      <c r="Q111" s="9" t="str">
        <f>IF(F111="Kredit",EOMONTH(B111,0),"")</f>
        <v/>
      </c>
      <c r="R111" s="17" t="str">
        <f>TEXT(B111,"dddd")</f>
        <v>Wednesday</v>
      </c>
    </row>
    <row r="112" spans="1:18">
      <c r="A112" s="5" t="s">
        <v>119</v>
      </c>
      <c r="B112" s="8">
        <v>46044</v>
      </c>
      <c r="C112" s="5" t="s">
        <v>979</v>
      </c>
      <c r="D112" s="5" t="s">
        <v>971</v>
      </c>
      <c r="E112" s="5" t="s">
        <v>980</v>
      </c>
      <c r="F112" s="5" t="s">
        <v>4</v>
      </c>
      <c r="G112" s="5">
        <v>4</v>
      </c>
      <c r="H112" s="5" t="s">
        <v>963</v>
      </c>
      <c r="I112" s="13">
        <v>776245019</v>
      </c>
      <c r="J112" s="10" t="s">
        <v>1095</v>
      </c>
      <c r="K112" t="str">
        <f>LEFT(C112,FIND(" ",C112)-1)&amp;"-"&amp;E112&amp;" "&amp;"Filialina çardırılma"</f>
        <v>Leyla-Sumqayit Filialina çardırılma</v>
      </c>
      <c r="L112">
        <f>VLOOKUP(D112,Anbar!$A$2:$B$5,2,FALSE)</f>
        <v>1200</v>
      </c>
      <c r="M112">
        <f>VLOOKUP(D112,Anbar!$A$2:$C$5,3,FALSE)</f>
        <v>1800</v>
      </c>
      <c r="N112">
        <f t="shared" si="2"/>
        <v>7200</v>
      </c>
      <c r="O112">
        <f t="shared" si="3"/>
        <v>2400</v>
      </c>
      <c r="P112" t="str">
        <f>IF(AND(F112="Nağd",G112&gt;5),M112*0.9,"0%")</f>
        <v>0%</v>
      </c>
      <c r="Q112" s="9">
        <f>IF(F112="Kredit",EOMONTH(B112,0),"")</f>
        <v>46053</v>
      </c>
      <c r="R112" s="17" t="str">
        <f>TEXT(B112,"dddd")</f>
        <v>Thursday</v>
      </c>
    </row>
    <row r="113" spans="1:18">
      <c r="A113" s="5" t="s">
        <v>120</v>
      </c>
      <c r="B113" s="8">
        <v>46076</v>
      </c>
      <c r="C113" s="5" t="s">
        <v>6</v>
      </c>
      <c r="D113" s="5" t="s">
        <v>20</v>
      </c>
      <c r="E113" s="5" t="s">
        <v>964</v>
      </c>
      <c r="F113" s="5" t="s">
        <v>4</v>
      </c>
      <c r="G113" s="5">
        <v>8</v>
      </c>
      <c r="H113" s="5" t="s">
        <v>963</v>
      </c>
      <c r="I113" s="13">
        <v>510436397</v>
      </c>
      <c r="J113" s="10" t="s">
        <v>1096</v>
      </c>
      <c r="K113" t="str">
        <f>LEFT(C113,FIND(" ",C113)-1)&amp;"-"&amp;E113&amp;" "&amp;"Filialina çardırılma"</f>
        <v>Zaur-Sumqayıt Filialina çardırılma</v>
      </c>
      <c r="L113">
        <f>VLOOKUP(D113,Anbar!$A$2:$B$5,2,FALSE)</f>
        <v>15</v>
      </c>
      <c r="M113">
        <f>VLOOKUP(D113,Anbar!$A$2:$C$5,3,FALSE)</f>
        <v>45</v>
      </c>
      <c r="N113">
        <f t="shared" si="2"/>
        <v>360</v>
      </c>
      <c r="O113">
        <f t="shared" si="3"/>
        <v>240</v>
      </c>
      <c r="P113" t="str">
        <f>IF(AND(F113="Nağd",G113&gt;5),M113*0.9,"0%")</f>
        <v>0%</v>
      </c>
      <c r="Q113" s="9">
        <f>IF(F113="Kredit",EOMONTH(B113,0),"")</f>
        <v>46081</v>
      </c>
      <c r="R113" s="17" t="str">
        <f>TEXT(B113,"dddd")</f>
        <v>Monday</v>
      </c>
    </row>
    <row r="114" spans="1:18">
      <c r="A114" s="5" t="s">
        <v>121</v>
      </c>
      <c r="B114" s="8">
        <v>46137</v>
      </c>
      <c r="C114" s="5" t="s">
        <v>977</v>
      </c>
      <c r="D114" s="5" t="s">
        <v>971</v>
      </c>
      <c r="E114" s="5" t="s">
        <v>982</v>
      </c>
      <c r="F114" s="5" t="s">
        <v>4</v>
      </c>
      <c r="G114" s="5">
        <v>5</v>
      </c>
      <c r="H114" s="5" t="s">
        <v>963</v>
      </c>
      <c r="I114" s="13">
        <v>552979438</v>
      </c>
      <c r="J114" s="10" t="s">
        <v>1097</v>
      </c>
      <c r="K114" t="str">
        <f>LEFT(C114,FIND(" ",C114)-1)&amp;"-"&amp;E114&amp;" "&amp;"Filialina çardırılma"</f>
        <v>Elnur-Baki Filialina çardırılma</v>
      </c>
      <c r="L114">
        <f>VLOOKUP(D114,Anbar!$A$2:$B$5,2,FALSE)</f>
        <v>1200</v>
      </c>
      <c r="M114">
        <f>VLOOKUP(D114,Anbar!$A$2:$C$5,3,FALSE)</f>
        <v>1800</v>
      </c>
      <c r="N114">
        <f t="shared" si="2"/>
        <v>9000</v>
      </c>
      <c r="O114">
        <f t="shared" si="3"/>
        <v>3000</v>
      </c>
      <c r="P114" t="str">
        <f>IF(AND(F114="Nağd",G114&gt;5),M114*0.9,"0%")</f>
        <v>0%</v>
      </c>
      <c r="Q114" s="9">
        <f>IF(F114="Kredit",EOMONTH(B114,0),"")</f>
        <v>46142</v>
      </c>
      <c r="R114" s="17" t="str">
        <f>TEXT(B114,"dddd")</f>
        <v>Saturday</v>
      </c>
    </row>
    <row r="115" spans="1:18">
      <c r="A115" s="5" t="s">
        <v>122</v>
      </c>
      <c r="B115" s="8">
        <v>46110</v>
      </c>
      <c r="C115" s="5" t="s">
        <v>977</v>
      </c>
      <c r="D115" s="5" t="s">
        <v>968</v>
      </c>
      <c r="E115" s="5" t="s">
        <v>981</v>
      </c>
      <c r="F115" s="5" t="s">
        <v>4</v>
      </c>
      <c r="G115" s="5">
        <v>1</v>
      </c>
      <c r="H115" s="5" t="s">
        <v>963</v>
      </c>
      <c r="I115" s="13">
        <v>513249684</v>
      </c>
      <c r="J115" s="10" t="s">
        <v>1098</v>
      </c>
      <c r="K115" t="str">
        <f>LEFT(C115,FIND(" ",C115)-1)&amp;"-"&amp;E115&amp;" "&amp;"Filialina çardırılma"</f>
        <v>Elnur-Gəncə Filialina çardırılma</v>
      </c>
      <c r="L115">
        <f>VLOOKUP(D115,Anbar!$A$2:$B$5,2,FALSE)</f>
        <v>400</v>
      </c>
      <c r="M115">
        <f>VLOOKUP(D115,Anbar!$A$2:$C$5,3,FALSE)</f>
        <v>650</v>
      </c>
      <c r="N115">
        <f t="shared" si="2"/>
        <v>650</v>
      </c>
      <c r="O115">
        <f t="shared" si="3"/>
        <v>250</v>
      </c>
      <c r="P115" t="str">
        <f>IF(AND(F115="Nağd",G115&gt;5),M115*0.9,"0%")</f>
        <v>0%</v>
      </c>
      <c r="Q115" s="9">
        <f>IF(F115="Kredit",EOMONTH(B115,0),"")</f>
        <v>46112</v>
      </c>
      <c r="R115" s="17" t="str">
        <f>TEXT(B115,"dddd")</f>
        <v>Sunday</v>
      </c>
    </row>
    <row r="116" spans="1:18">
      <c r="A116" s="5" t="s">
        <v>123</v>
      </c>
      <c r="B116" s="8">
        <v>46150</v>
      </c>
      <c r="C116" s="5" t="s">
        <v>979</v>
      </c>
      <c r="D116" s="5" t="s">
        <v>15</v>
      </c>
      <c r="E116" s="5" t="s">
        <v>981</v>
      </c>
      <c r="F116" s="5" t="s">
        <v>4</v>
      </c>
      <c r="G116" s="5">
        <v>4</v>
      </c>
      <c r="H116" s="5" t="s">
        <v>963</v>
      </c>
      <c r="I116" s="13">
        <v>774511609</v>
      </c>
      <c r="J116" s="10" t="s">
        <v>1099</v>
      </c>
      <c r="K116" t="str">
        <f>LEFT(C116,FIND(" ",C116)-1)&amp;"-"&amp;E116&amp;" "&amp;"Filialina çardırılma"</f>
        <v>Leyla-Gəncə Filialina çardırılma</v>
      </c>
      <c r="L116">
        <f>VLOOKUP(D116,Anbar!$A$2:$B$5,2,FALSE)</f>
        <v>600</v>
      </c>
      <c r="M116">
        <f>VLOOKUP(D116,Anbar!$A$2:$C$5,3,FALSE)</f>
        <v>950</v>
      </c>
      <c r="N116">
        <f t="shared" si="2"/>
        <v>3800</v>
      </c>
      <c r="O116">
        <f t="shared" si="3"/>
        <v>1400</v>
      </c>
      <c r="P116" t="str">
        <f>IF(AND(F116="Nağd",G116&gt;5),M116*0.9,"0%")</f>
        <v>0%</v>
      </c>
      <c r="Q116" s="9">
        <f>IF(F116="Kredit",EOMONTH(B116,0),"")</f>
        <v>46173</v>
      </c>
      <c r="R116" s="17" t="str">
        <f>TEXT(B116,"dddd")</f>
        <v>Friday</v>
      </c>
    </row>
    <row r="117" spans="1:18">
      <c r="A117" s="5" t="s">
        <v>124</v>
      </c>
      <c r="B117" s="8">
        <v>46116</v>
      </c>
      <c r="C117" s="5" t="s">
        <v>967</v>
      </c>
      <c r="D117" s="5" t="s">
        <v>20</v>
      </c>
      <c r="E117" s="5" t="s">
        <v>966</v>
      </c>
      <c r="F117" s="5" t="s">
        <v>4</v>
      </c>
      <c r="G117" s="5">
        <v>4</v>
      </c>
      <c r="H117" s="5" t="s">
        <v>963</v>
      </c>
      <c r="I117" s="13">
        <v>514886416</v>
      </c>
      <c r="J117" s="10" t="s">
        <v>1100</v>
      </c>
      <c r="K117" t="str">
        <f>LEFT(C117,FIND(" ",C117)-1)&amp;"-"&amp;E117&amp;" "&amp;"Filialina çardırılma"</f>
        <v>Aysel-Bakı Filialina çardırılma</v>
      </c>
      <c r="L117">
        <f>VLOOKUP(D117,Anbar!$A$2:$B$5,2,FALSE)</f>
        <v>15</v>
      </c>
      <c r="M117">
        <f>VLOOKUP(D117,Anbar!$A$2:$C$5,3,FALSE)</f>
        <v>45</v>
      </c>
      <c r="N117">
        <f t="shared" si="2"/>
        <v>180</v>
      </c>
      <c r="O117">
        <f t="shared" si="3"/>
        <v>120</v>
      </c>
      <c r="P117" t="str">
        <f>IF(AND(F117="Nağd",G117&gt;5),M117*0.9,"0%")</f>
        <v>0%</v>
      </c>
      <c r="Q117" s="9">
        <f>IF(F117="Kredit",EOMONTH(B117,0),"")</f>
        <v>46142</v>
      </c>
      <c r="R117" s="17" t="str">
        <f>TEXT(B117,"dddd")</f>
        <v>Saturday</v>
      </c>
    </row>
    <row r="118" spans="1:18">
      <c r="A118" s="5" t="s">
        <v>125</v>
      </c>
      <c r="B118" s="8">
        <v>46173</v>
      </c>
      <c r="C118" s="5" t="s">
        <v>975</v>
      </c>
      <c r="D118" s="5" t="s">
        <v>15</v>
      </c>
      <c r="E118" s="5" t="s">
        <v>980</v>
      </c>
      <c r="F118" s="5" t="s">
        <v>965</v>
      </c>
      <c r="G118" s="5">
        <v>5</v>
      </c>
      <c r="H118" s="5" t="s">
        <v>963</v>
      </c>
      <c r="I118" s="13">
        <v>552244393</v>
      </c>
      <c r="J118" s="10" t="s">
        <v>1101</v>
      </c>
      <c r="K118" t="str">
        <f>LEFT(C118,FIND(" ",C118)-1)&amp;"-"&amp;E118&amp;" "&amp;"Filialina çardırılma"</f>
        <v>Murad-Sumqayit Filialina çardırılma</v>
      </c>
      <c r="L118">
        <f>VLOOKUP(D118,Anbar!$A$2:$B$5,2,FALSE)</f>
        <v>600</v>
      </c>
      <c r="M118">
        <f>VLOOKUP(D118,Anbar!$A$2:$C$5,3,FALSE)</f>
        <v>950</v>
      </c>
      <c r="N118">
        <f t="shared" si="2"/>
        <v>4750</v>
      </c>
      <c r="O118">
        <f t="shared" si="3"/>
        <v>1750</v>
      </c>
      <c r="P118" t="str">
        <f>IF(AND(F118="Nağd",G118&gt;5),M118*0.9,"0%")</f>
        <v>0%</v>
      </c>
      <c r="Q118" s="9" t="str">
        <f>IF(F118="Kredit",EOMONTH(B118,0),"")</f>
        <v/>
      </c>
      <c r="R118" s="17" t="str">
        <f>TEXT(B118,"dddd")</f>
        <v>Sunday</v>
      </c>
    </row>
    <row r="119" spans="1:18">
      <c r="A119" s="5" t="s">
        <v>126</v>
      </c>
      <c r="B119" s="8">
        <v>46109</v>
      </c>
      <c r="C119" s="5" t="s">
        <v>979</v>
      </c>
      <c r="D119" s="5" t="s">
        <v>20</v>
      </c>
      <c r="E119" s="5" t="s">
        <v>980</v>
      </c>
      <c r="F119" s="5" t="s">
        <v>7</v>
      </c>
      <c r="G119" s="5">
        <v>9</v>
      </c>
      <c r="H119" s="5" t="s">
        <v>963</v>
      </c>
      <c r="I119" s="13">
        <v>559453108</v>
      </c>
      <c r="J119" s="10" t="s">
        <v>1102</v>
      </c>
      <c r="K119" t="str">
        <f>LEFT(C119,FIND(" ",C119)-1)&amp;"-"&amp;E119&amp;" "&amp;"Filialina çardırılma"</f>
        <v>Leyla-Sumqayit Filialina çardırılma</v>
      </c>
      <c r="L119">
        <f>VLOOKUP(D119,Anbar!$A$2:$B$5,2,FALSE)</f>
        <v>15</v>
      </c>
      <c r="M119">
        <f>VLOOKUP(D119,Anbar!$A$2:$C$5,3,FALSE)</f>
        <v>45</v>
      </c>
      <c r="N119">
        <f t="shared" si="2"/>
        <v>405</v>
      </c>
      <c r="O119">
        <f t="shared" si="3"/>
        <v>270</v>
      </c>
      <c r="P119" t="str">
        <f>IF(AND(F119="Nağd",G119&gt;5),M119*0.9,"0%")</f>
        <v>0%</v>
      </c>
      <c r="Q119" s="9" t="str">
        <f>IF(F119="Kredit",EOMONTH(B119,0),"")</f>
        <v/>
      </c>
      <c r="R119" s="17" t="str">
        <f>TEXT(B119,"dddd")</f>
        <v>Saturday</v>
      </c>
    </row>
    <row r="120" spans="1:18">
      <c r="A120" s="5" t="s">
        <v>127</v>
      </c>
      <c r="B120" s="8">
        <v>46142</v>
      </c>
      <c r="C120" s="5" t="s">
        <v>974</v>
      </c>
      <c r="D120" s="5" t="s">
        <v>971</v>
      </c>
      <c r="E120" s="5" t="s">
        <v>980</v>
      </c>
      <c r="F120" s="5" t="s">
        <v>4</v>
      </c>
      <c r="G120" s="5">
        <v>9</v>
      </c>
      <c r="H120" s="5" t="s">
        <v>963</v>
      </c>
      <c r="I120" s="13">
        <v>514387821</v>
      </c>
      <c r="J120" s="10" t="s">
        <v>1103</v>
      </c>
      <c r="K120" t="str">
        <f>LEFT(C120,FIND(" ",C120)-1)&amp;"-"&amp;E120&amp;" "&amp;"Filialina çardırılma"</f>
        <v>Ramil-Sumqayit Filialina çardırılma</v>
      </c>
      <c r="L120">
        <f>VLOOKUP(D120,Anbar!$A$2:$B$5,2,FALSE)</f>
        <v>1200</v>
      </c>
      <c r="M120">
        <f>VLOOKUP(D120,Anbar!$A$2:$C$5,3,FALSE)</f>
        <v>1800</v>
      </c>
      <c r="N120">
        <f t="shared" si="2"/>
        <v>16200</v>
      </c>
      <c r="O120">
        <f t="shared" si="3"/>
        <v>5400</v>
      </c>
      <c r="P120" t="str">
        <f>IF(AND(F120="Nağd",G120&gt;5),M120*0.9,"0%")</f>
        <v>0%</v>
      </c>
      <c r="Q120" s="9">
        <f>IF(F120="Kredit",EOMONTH(B120,0),"")</f>
        <v>46142</v>
      </c>
      <c r="R120" s="17" t="str">
        <f>TEXT(B120,"dddd")</f>
        <v>Thursday</v>
      </c>
    </row>
    <row r="121" spans="1:18">
      <c r="A121" s="5" t="s">
        <v>128</v>
      </c>
      <c r="B121" s="8">
        <v>46073</v>
      </c>
      <c r="C121" s="5" t="s">
        <v>978</v>
      </c>
      <c r="D121" s="5" t="s">
        <v>971</v>
      </c>
      <c r="E121" s="5" t="s">
        <v>964</v>
      </c>
      <c r="F121" s="5" t="s">
        <v>983</v>
      </c>
      <c r="G121" s="5">
        <v>3</v>
      </c>
      <c r="H121" s="5" t="s">
        <v>963</v>
      </c>
      <c r="I121" s="13">
        <v>700259716</v>
      </c>
      <c r="J121" s="10" t="s">
        <v>1104</v>
      </c>
      <c r="K121" t="str">
        <f>LEFT(C121,FIND(" ",C121)-1)&amp;"-"&amp;E121&amp;" "&amp;"Filialina çardırılma"</f>
        <v>Əli-Sumqayıt Filialina çardırılma</v>
      </c>
      <c r="L121">
        <f>VLOOKUP(D121,Anbar!$A$2:$B$5,2,FALSE)</f>
        <v>1200</v>
      </c>
      <c r="M121">
        <f>VLOOKUP(D121,Anbar!$A$2:$C$5,3,FALSE)</f>
        <v>1800</v>
      </c>
      <c r="N121">
        <f t="shared" si="2"/>
        <v>5400</v>
      </c>
      <c r="O121">
        <f t="shared" si="3"/>
        <v>1800</v>
      </c>
      <c r="P121" t="str">
        <f>IF(AND(F121="Nağd",G121&gt;5),M121*0.9,"0%")</f>
        <v>0%</v>
      </c>
      <c r="Q121" s="9" t="str">
        <f>IF(F121="Kredit",EOMONTH(B121,0),"")</f>
        <v/>
      </c>
      <c r="R121" s="17" t="str">
        <f>TEXT(B121,"dddd")</f>
        <v>Friday</v>
      </c>
    </row>
    <row r="122" spans="1:18">
      <c r="A122" s="5" t="s">
        <v>129</v>
      </c>
      <c r="B122" s="8">
        <v>46082</v>
      </c>
      <c r="C122" s="5" t="s">
        <v>974</v>
      </c>
      <c r="D122" s="5" t="s">
        <v>15</v>
      </c>
      <c r="E122" s="5" t="s">
        <v>966</v>
      </c>
      <c r="F122" s="5" t="s">
        <v>7</v>
      </c>
      <c r="G122" s="5">
        <v>4</v>
      </c>
      <c r="H122" s="5" t="s">
        <v>963</v>
      </c>
      <c r="I122" s="13">
        <v>779691893</v>
      </c>
      <c r="J122" s="10" t="s">
        <v>1105</v>
      </c>
      <c r="K122" t="str">
        <f>LEFT(C122,FIND(" ",C122)-1)&amp;"-"&amp;E122&amp;" "&amp;"Filialina çardırılma"</f>
        <v>Ramil-Bakı Filialina çardırılma</v>
      </c>
      <c r="L122">
        <f>VLOOKUP(D122,Anbar!$A$2:$B$5,2,FALSE)</f>
        <v>600</v>
      </c>
      <c r="M122">
        <f>VLOOKUP(D122,Anbar!$A$2:$C$5,3,FALSE)</f>
        <v>950</v>
      </c>
      <c r="N122">
        <f t="shared" si="2"/>
        <v>3800</v>
      </c>
      <c r="O122">
        <f t="shared" si="3"/>
        <v>1400</v>
      </c>
      <c r="P122" t="str">
        <f>IF(AND(F122="Nağd",G122&gt;5),M122*0.9,"0%")</f>
        <v>0%</v>
      </c>
      <c r="Q122" s="9" t="str">
        <f>IF(F122="Kredit",EOMONTH(B122,0),"")</f>
        <v/>
      </c>
      <c r="R122" s="17" t="str">
        <f>TEXT(B122,"dddd")</f>
        <v>Sunday</v>
      </c>
    </row>
    <row r="123" spans="1:18">
      <c r="A123" s="5" t="s">
        <v>130</v>
      </c>
      <c r="B123" s="8">
        <v>46116</v>
      </c>
      <c r="C123" s="5" t="s">
        <v>979</v>
      </c>
      <c r="D123" s="5" t="s">
        <v>971</v>
      </c>
      <c r="E123" s="5" t="s">
        <v>981</v>
      </c>
      <c r="F123" s="5" t="s">
        <v>965</v>
      </c>
      <c r="G123" s="5">
        <v>7</v>
      </c>
      <c r="H123" s="5" t="s">
        <v>963</v>
      </c>
      <c r="I123" s="13">
        <v>706506834</v>
      </c>
      <c r="J123" s="10" t="s">
        <v>1106</v>
      </c>
      <c r="K123" t="str">
        <f>LEFT(C123,FIND(" ",C123)-1)&amp;"-"&amp;E123&amp;" "&amp;"Filialina çardırılma"</f>
        <v>Leyla-Gəncə Filialina çardırılma</v>
      </c>
      <c r="L123">
        <f>VLOOKUP(D123,Anbar!$A$2:$B$5,2,FALSE)</f>
        <v>1200</v>
      </c>
      <c r="M123">
        <f>VLOOKUP(D123,Anbar!$A$2:$C$5,3,FALSE)</f>
        <v>1800</v>
      </c>
      <c r="N123">
        <f t="shared" si="2"/>
        <v>12600</v>
      </c>
      <c r="O123">
        <f t="shared" si="3"/>
        <v>4200</v>
      </c>
      <c r="P123">
        <f>IF(AND(F123="Nağd",G123&gt;5),M123*0.9,"0%")</f>
        <v>1620</v>
      </c>
      <c r="Q123" s="9" t="str">
        <f>IF(F123="Kredit",EOMONTH(B123,0),"")</f>
        <v/>
      </c>
      <c r="R123" s="17" t="str">
        <f>TEXT(B123,"dddd")</f>
        <v>Saturday</v>
      </c>
    </row>
    <row r="124" spans="1:18">
      <c r="A124" s="5" t="s">
        <v>131</v>
      </c>
      <c r="B124" s="8">
        <v>46168</v>
      </c>
      <c r="C124" s="5" t="s">
        <v>977</v>
      </c>
      <c r="D124" s="5" t="s">
        <v>20</v>
      </c>
      <c r="E124" s="5" t="s">
        <v>982</v>
      </c>
      <c r="F124" s="5" t="s">
        <v>4</v>
      </c>
      <c r="G124" s="5">
        <v>1</v>
      </c>
      <c r="H124" s="5" t="s">
        <v>963</v>
      </c>
      <c r="I124" s="13">
        <v>557054526</v>
      </c>
      <c r="J124" s="10" t="s">
        <v>1107</v>
      </c>
      <c r="K124" t="str">
        <f>LEFT(C124,FIND(" ",C124)-1)&amp;"-"&amp;E124&amp;" "&amp;"Filialina çardırılma"</f>
        <v>Elnur-Baki Filialina çardırılma</v>
      </c>
      <c r="L124">
        <f>VLOOKUP(D124,Anbar!$A$2:$B$5,2,FALSE)</f>
        <v>15</v>
      </c>
      <c r="M124">
        <f>VLOOKUP(D124,Anbar!$A$2:$C$5,3,FALSE)</f>
        <v>45</v>
      </c>
      <c r="N124">
        <f t="shared" si="2"/>
        <v>45</v>
      </c>
      <c r="O124">
        <f t="shared" si="3"/>
        <v>30</v>
      </c>
      <c r="P124" t="str">
        <f>IF(AND(F124="Nağd",G124&gt;5),M124*0.9,"0%")</f>
        <v>0%</v>
      </c>
      <c r="Q124" s="9">
        <f>IF(F124="Kredit",EOMONTH(B124,0),"")</f>
        <v>46173</v>
      </c>
      <c r="R124" s="17" t="str">
        <f>TEXT(B124,"dddd")</f>
        <v>Tuesday</v>
      </c>
    </row>
    <row r="125" spans="1:18">
      <c r="A125" s="5" t="s">
        <v>132</v>
      </c>
      <c r="B125" s="8">
        <v>46136</v>
      </c>
      <c r="C125" s="5" t="s">
        <v>977</v>
      </c>
      <c r="D125" s="5" t="s">
        <v>15</v>
      </c>
      <c r="E125" s="5" t="s">
        <v>966</v>
      </c>
      <c r="F125" s="5" t="s">
        <v>965</v>
      </c>
      <c r="G125" s="5">
        <v>9</v>
      </c>
      <c r="H125" s="5" t="s">
        <v>963</v>
      </c>
      <c r="I125" s="13">
        <v>773523832</v>
      </c>
      <c r="J125" s="10" t="s">
        <v>1108</v>
      </c>
      <c r="K125" t="str">
        <f>LEFT(C125,FIND(" ",C125)-1)&amp;"-"&amp;E125&amp;" "&amp;"Filialina çardırılma"</f>
        <v>Elnur-Bakı Filialina çardırılma</v>
      </c>
      <c r="L125">
        <f>VLOOKUP(D125,Anbar!$A$2:$B$5,2,FALSE)</f>
        <v>600</v>
      </c>
      <c r="M125">
        <f>VLOOKUP(D125,Anbar!$A$2:$C$5,3,FALSE)</f>
        <v>950</v>
      </c>
      <c r="N125">
        <f t="shared" si="2"/>
        <v>8550</v>
      </c>
      <c r="O125">
        <f t="shared" si="3"/>
        <v>3150</v>
      </c>
      <c r="P125">
        <f>IF(AND(F125="Nağd",G125&gt;5),M125*0.9,"0%")</f>
        <v>855</v>
      </c>
      <c r="Q125" s="9" t="str">
        <f>IF(F125="Kredit",EOMONTH(B125,0),"")</f>
        <v/>
      </c>
      <c r="R125" s="17" t="str">
        <f>TEXT(B125,"dddd")</f>
        <v>Friday</v>
      </c>
    </row>
    <row r="126" spans="1:18">
      <c r="A126" s="5" t="s">
        <v>133</v>
      </c>
      <c r="B126" s="8">
        <v>46142</v>
      </c>
      <c r="C126" s="5" t="s">
        <v>978</v>
      </c>
      <c r="D126" s="5" t="s">
        <v>971</v>
      </c>
      <c r="E126" s="5" t="s">
        <v>9</v>
      </c>
      <c r="F126" s="5" t="s">
        <v>965</v>
      </c>
      <c r="G126" s="5">
        <v>2</v>
      </c>
      <c r="H126" s="5" t="s">
        <v>963</v>
      </c>
      <c r="I126" s="13">
        <v>516165216</v>
      </c>
      <c r="J126" s="10" t="s">
        <v>1109</v>
      </c>
      <c r="K126" t="str">
        <f>LEFT(C126,FIND(" ",C126)-1)&amp;"-"&amp;E126&amp;" "&amp;"Filialina çardırılma"</f>
        <v>Əli-Gence Filialina çardırılma</v>
      </c>
      <c r="L126">
        <f>VLOOKUP(D126,Anbar!$A$2:$B$5,2,FALSE)</f>
        <v>1200</v>
      </c>
      <c r="M126">
        <f>VLOOKUP(D126,Anbar!$A$2:$C$5,3,FALSE)</f>
        <v>1800</v>
      </c>
      <c r="N126">
        <f t="shared" si="2"/>
        <v>3600</v>
      </c>
      <c r="O126">
        <f t="shared" si="3"/>
        <v>1200</v>
      </c>
      <c r="P126" t="str">
        <f>IF(AND(F126="Nağd",G126&gt;5),M126*0.9,"0%")</f>
        <v>0%</v>
      </c>
      <c r="Q126" s="9" t="str">
        <f>IF(F126="Kredit",EOMONTH(B126,0),"")</f>
        <v/>
      </c>
      <c r="R126" s="17" t="str">
        <f>TEXT(B126,"dddd")</f>
        <v>Thursday</v>
      </c>
    </row>
    <row r="127" spans="1:18">
      <c r="A127" s="5" t="s">
        <v>134</v>
      </c>
      <c r="B127" s="8">
        <v>46048</v>
      </c>
      <c r="C127" s="5" t="s">
        <v>979</v>
      </c>
      <c r="D127" s="5" t="s">
        <v>968</v>
      </c>
      <c r="E127" s="5" t="s">
        <v>964</v>
      </c>
      <c r="F127" s="5" t="s">
        <v>965</v>
      </c>
      <c r="G127" s="5">
        <v>2</v>
      </c>
      <c r="H127" s="5" t="s">
        <v>963</v>
      </c>
      <c r="I127" s="13">
        <v>707437941</v>
      </c>
      <c r="J127" s="10" t="s">
        <v>1110</v>
      </c>
      <c r="K127" t="str">
        <f>LEFT(C127,FIND(" ",C127)-1)&amp;"-"&amp;E127&amp;" "&amp;"Filialina çardırılma"</f>
        <v>Leyla-Sumqayıt Filialina çardırılma</v>
      </c>
      <c r="L127">
        <f>VLOOKUP(D127,Anbar!$A$2:$B$5,2,FALSE)</f>
        <v>400</v>
      </c>
      <c r="M127">
        <f>VLOOKUP(D127,Anbar!$A$2:$C$5,3,FALSE)</f>
        <v>650</v>
      </c>
      <c r="N127">
        <f t="shared" si="2"/>
        <v>1300</v>
      </c>
      <c r="O127">
        <f t="shared" si="3"/>
        <v>500</v>
      </c>
      <c r="P127" t="str">
        <f>IF(AND(F127="Nağd",G127&gt;5),M127*0.9,"0%")</f>
        <v>0%</v>
      </c>
      <c r="Q127" s="9" t="str">
        <f>IF(F127="Kredit",EOMONTH(B127,0),"")</f>
        <v/>
      </c>
      <c r="R127" s="17" t="str">
        <f>TEXT(B127,"dddd")</f>
        <v>Monday</v>
      </c>
    </row>
    <row r="128" spans="1:18">
      <c r="A128" s="5" t="s">
        <v>135</v>
      </c>
      <c r="B128" s="8">
        <v>46052</v>
      </c>
      <c r="C128" s="5" t="s">
        <v>6</v>
      </c>
      <c r="D128" s="5" t="s">
        <v>20</v>
      </c>
      <c r="E128" s="5" t="s">
        <v>964</v>
      </c>
      <c r="F128" s="5" t="s">
        <v>4</v>
      </c>
      <c r="G128" s="5">
        <v>1</v>
      </c>
      <c r="H128" s="5" t="s">
        <v>963</v>
      </c>
      <c r="I128" s="13">
        <v>551783166</v>
      </c>
      <c r="J128" s="10" t="s">
        <v>1111</v>
      </c>
      <c r="K128" t="str">
        <f>LEFT(C128,FIND(" ",C128)-1)&amp;"-"&amp;E128&amp;" "&amp;"Filialina çardırılma"</f>
        <v>Zaur-Sumqayıt Filialina çardırılma</v>
      </c>
      <c r="L128">
        <f>VLOOKUP(D128,Anbar!$A$2:$B$5,2,FALSE)</f>
        <v>15</v>
      </c>
      <c r="M128">
        <f>VLOOKUP(D128,Anbar!$A$2:$C$5,3,FALSE)</f>
        <v>45</v>
      </c>
      <c r="N128">
        <f t="shared" si="2"/>
        <v>45</v>
      </c>
      <c r="O128">
        <f t="shared" si="3"/>
        <v>30</v>
      </c>
      <c r="P128" t="str">
        <f>IF(AND(F128="Nağd",G128&gt;5),M128*0.9,"0%")</f>
        <v>0%</v>
      </c>
      <c r="Q128" s="9">
        <f>IF(F128="Kredit",EOMONTH(B128,0),"")</f>
        <v>46053</v>
      </c>
      <c r="R128" s="17" t="str">
        <f>TEXT(B128,"dddd")</f>
        <v>Friday</v>
      </c>
    </row>
    <row r="129" spans="1:18">
      <c r="A129" s="5" t="s">
        <v>136</v>
      </c>
      <c r="B129" s="8">
        <v>46120</v>
      </c>
      <c r="C129" s="5" t="s">
        <v>6</v>
      </c>
      <c r="D129" s="5" t="s">
        <v>20</v>
      </c>
      <c r="E129" s="5" t="s">
        <v>981</v>
      </c>
      <c r="F129" s="5" t="s">
        <v>965</v>
      </c>
      <c r="G129" s="5">
        <v>9</v>
      </c>
      <c r="H129" s="5" t="s">
        <v>963</v>
      </c>
      <c r="I129" s="13">
        <v>500220542</v>
      </c>
      <c r="J129" s="10" t="s">
        <v>1112</v>
      </c>
      <c r="K129" t="str">
        <f>LEFT(C129,FIND(" ",C129)-1)&amp;"-"&amp;E129&amp;" "&amp;"Filialina çardırılma"</f>
        <v>Zaur-Gəncə Filialina çardırılma</v>
      </c>
      <c r="L129">
        <f>VLOOKUP(D129,Anbar!$A$2:$B$5,2,FALSE)</f>
        <v>15</v>
      </c>
      <c r="M129">
        <f>VLOOKUP(D129,Anbar!$A$2:$C$5,3,FALSE)</f>
        <v>45</v>
      </c>
      <c r="N129">
        <f t="shared" si="2"/>
        <v>405</v>
      </c>
      <c r="O129">
        <f t="shared" si="3"/>
        <v>270</v>
      </c>
      <c r="P129">
        <f>IF(AND(F129="Nağd",G129&gt;5),M129*0.9,"0%")</f>
        <v>40.5</v>
      </c>
      <c r="Q129" s="9" t="str">
        <f>IF(F129="Kredit",EOMONTH(B129,0),"")</f>
        <v/>
      </c>
      <c r="R129" s="17" t="str">
        <f>TEXT(B129,"dddd")</f>
        <v>Wednesday</v>
      </c>
    </row>
    <row r="130" spans="1:18">
      <c r="A130" s="5" t="s">
        <v>137</v>
      </c>
      <c r="B130" s="8">
        <v>46045</v>
      </c>
      <c r="C130" s="5" t="s">
        <v>6</v>
      </c>
      <c r="D130" s="5" t="s">
        <v>20</v>
      </c>
      <c r="E130" s="5" t="s">
        <v>981</v>
      </c>
      <c r="F130" s="5" t="s">
        <v>965</v>
      </c>
      <c r="G130" s="5">
        <v>3</v>
      </c>
      <c r="H130" s="5" t="s">
        <v>963</v>
      </c>
      <c r="I130" s="13">
        <v>774293494</v>
      </c>
      <c r="J130" s="10" t="s">
        <v>1113</v>
      </c>
      <c r="K130" t="str">
        <f>LEFT(C130,FIND(" ",C130)-1)&amp;"-"&amp;E130&amp;" "&amp;"Filialina çardırılma"</f>
        <v>Zaur-Gəncə Filialina çardırılma</v>
      </c>
      <c r="L130">
        <f>VLOOKUP(D130,Anbar!$A$2:$B$5,2,FALSE)</f>
        <v>15</v>
      </c>
      <c r="M130">
        <f>VLOOKUP(D130,Anbar!$A$2:$C$5,3,FALSE)</f>
        <v>45</v>
      </c>
      <c r="N130">
        <f t="shared" si="2"/>
        <v>135</v>
      </c>
      <c r="O130">
        <f t="shared" si="3"/>
        <v>90</v>
      </c>
      <c r="P130" t="str">
        <f>IF(AND(F130="Nağd",G130&gt;5),M130*0.9,"0%")</f>
        <v>0%</v>
      </c>
      <c r="Q130" s="9" t="str">
        <f>IF(F130="Kredit",EOMONTH(B130,0),"")</f>
        <v/>
      </c>
      <c r="R130" s="17" t="str">
        <f>TEXT(B130,"dddd")</f>
        <v>Friday</v>
      </c>
    </row>
    <row r="131" spans="1:18">
      <c r="A131" s="5" t="s">
        <v>138</v>
      </c>
      <c r="B131" s="8">
        <v>46082</v>
      </c>
      <c r="C131" s="5" t="s">
        <v>977</v>
      </c>
      <c r="D131" s="5" t="s">
        <v>968</v>
      </c>
      <c r="E131" s="5" t="s">
        <v>9</v>
      </c>
      <c r="F131" s="5" t="s">
        <v>7</v>
      </c>
      <c r="G131" s="5">
        <v>5</v>
      </c>
      <c r="H131" s="5" t="s">
        <v>963</v>
      </c>
      <c r="I131" s="13">
        <v>502375876</v>
      </c>
      <c r="J131" s="10" t="s">
        <v>1114</v>
      </c>
      <c r="K131" t="str">
        <f>LEFT(C131,FIND(" ",C131)-1)&amp;"-"&amp;E131&amp;" "&amp;"Filialina çardırılma"</f>
        <v>Elnur-Gence Filialina çardırılma</v>
      </c>
      <c r="L131">
        <f>VLOOKUP(D131,Anbar!$A$2:$B$5,2,FALSE)</f>
        <v>400</v>
      </c>
      <c r="M131">
        <f>VLOOKUP(D131,Anbar!$A$2:$C$5,3,FALSE)</f>
        <v>650</v>
      </c>
      <c r="N131">
        <f t="shared" ref="N131:N194" si="4">G131*M131</f>
        <v>3250</v>
      </c>
      <c r="O131">
        <f t="shared" ref="O131:O194" si="5">(M131-L131)*G131</f>
        <v>1250</v>
      </c>
      <c r="P131" t="str">
        <f>IF(AND(F131="Nağd",G131&gt;5),M131*0.9,"0%")</f>
        <v>0%</v>
      </c>
      <c r="Q131" s="9" t="str">
        <f>IF(F131="Kredit",EOMONTH(B131,0),"")</f>
        <v/>
      </c>
      <c r="R131" s="17" t="str">
        <f>TEXT(B131,"dddd")</f>
        <v>Sunday</v>
      </c>
    </row>
    <row r="132" spans="1:18">
      <c r="A132" s="5" t="s">
        <v>139</v>
      </c>
      <c r="B132" s="8">
        <v>46124</v>
      </c>
      <c r="C132" s="5" t="s">
        <v>976</v>
      </c>
      <c r="D132" s="5" t="s">
        <v>20</v>
      </c>
      <c r="E132" s="5" t="s">
        <v>966</v>
      </c>
      <c r="F132" s="5" t="s">
        <v>4</v>
      </c>
      <c r="G132" s="5">
        <v>1</v>
      </c>
      <c r="H132" s="5" t="s">
        <v>963</v>
      </c>
      <c r="I132" s="13">
        <v>777315023</v>
      </c>
      <c r="J132" s="10" t="s">
        <v>1115</v>
      </c>
      <c r="K132" t="str">
        <f>LEFT(C132,FIND(" ",C132)-1)&amp;"-"&amp;E132&amp;" "&amp;"Filialina çardırılma"</f>
        <v>Nərgin-Bakı Filialina çardırılma</v>
      </c>
      <c r="L132">
        <f>VLOOKUP(D132,Anbar!$A$2:$B$5,2,FALSE)</f>
        <v>15</v>
      </c>
      <c r="M132">
        <f>VLOOKUP(D132,Anbar!$A$2:$C$5,3,FALSE)</f>
        <v>45</v>
      </c>
      <c r="N132">
        <f t="shared" si="4"/>
        <v>45</v>
      </c>
      <c r="O132">
        <f t="shared" si="5"/>
        <v>30</v>
      </c>
      <c r="P132" t="str">
        <f>IF(AND(F132="Nağd",G132&gt;5),M132*0.9,"0%")</f>
        <v>0%</v>
      </c>
      <c r="Q132" s="9">
        <f>IF(F132="Kredit",EOMONTH(B132,0),"")</f>
        <v>46142</v>
      </c>
      <c r="R132" s="17" t="str">
        <f>TEXT(B132,"dddd")</f>
        <v>Sunday</v>
      </c>
    </row>
    <row r="133" spans="1:18">
      <c r="A133" s="5" t="s">
        <v>140</v>
      </c>
      <c r="B133" s="8">
        <v>46135</v>
      </c>
      <c r="C133" s="5" t="s">
        <v>967</v>
      </c>
      <c r="D133" s="5" t="s">
        <v>15</v>
      </c>
      <c r="E133" s="5" t="s">
        <v>964</v>
      </c>
      <c r="F133" s="5" t="s">
        <v>965</v>
      </c>
      <c r="G133" s="5">
        <v>10</v>
      </c>
      <c r="H133" s="5" t="s">
        <v>963</v>
      </c>
      <c r="I133" s="13">
        <v>776422771</v>
      </c>
      <c r="J133" s="10" t="s">
        <v>1116</v>
      </c>
      <c r="K133" t="str">
        <f>LEFT(C133,FIND(" ",C133)-1)&amp;"-"&amp;E133&amp;" "&amp;"Filialina çardırılma"</f>
        <v>Aysel-Sumqayıt Filialina çardırılma</v>
      </c>
      <c r="L133">
        <f>VLOOKUP(D133,Anbar!$A$2:$B$5,2,FALSE)</f>
        <v>600</v>
      </c>
      <c r="M133">
        <f>VLOOKUP(D133,Anbar!$A$2:$C$5,3,FALSE)</f>
        <v>950</v>
      </c>
      <c r="N133">
        <f t="shared" si="4"/>
        <v>9500</v>
      </c>
      <c r="O133">
        <f t="shared" si="5"/>
        <v>3500</v>
      </c>
      <c r="P133">
        <f>IF(AND(F133="Nağd",G133&gt;5),M133*0.9,"0%")</f>
        <v>855</v>
      </c>
      <c r="Q133" s="9" t="str">
        <f>IF(F133="Kredit",EOMONTH(B133,0),"")</f>
        <v/>
      </c>
      <c r="R133" s="17" t="str">
        <f>TEXT(B133,"dddd")</f>
        <v>Thursday</v>
      </c>
    </row>
    <row r="134" spans="1:18">
      <c r="A134" s="5" t="s">
        <v>141</v>
      </c>
      <c r="B134" s="8">
        <v>46175</v>
      </c>
      <c r="C134" s="5" t="s">
        <v>977</v>
      </c>
      <c r="D134" s="5" t="s">
        <v>20</v>
      </c>
      <c r="E134" s="5" t="s">
        <v>966</v>
      </c>
      <c r="F134" s="5" t="s">
        <v>4</v>
      </c>
      <c r="G134" s="5">
        <v>8</v>
      </c>
      <c r="H134" s="5" t="s">
        <v>963</v>
      </c>
      <c r="I134" s="13">
        <v>706833888</v>
      </c>
      <c r="J134" s="10" t="s">
        <v>1117</v>
      </c>
      <c r="K134" t="str">
        <f>LEFT(C134,FIND(" ",C134)-1)&amp;"-"&amp;E134&amp;" "&amp;"Filialina çardırılma"</f>
        <v>Elnur-Bakı Filialina çardırılma</v>
      </c>
      <c r="L134">
        <f>VLOOKUP(D134,Anbar!$A$2:$B$5,2,FALSE)</f>
        <v>15</v>
      </c>
      <c r="M134">
        <f>VLOOKUP(D134,Anbar!$A$2:$C$5,3,FALSE)</f>
        <v>45</v>
      </c>
      <c r="N134">
        <f t="shared" si="4"/>
        <v>360</v>
      </c>
      <c r="O134">
        <f t="shared" si="5"/>
        <v>240</v>
      </c>
      <c r="P134" t="str">
        <f>IF(AND(F134="Nağd",G134&gt;5),M134*0.9,"0%")</f>
        <v>0%</v>
      </c>
      <c r="Q134" s="9">
        <f>IF(F134="Kredit",EOMONTH(B134,0),"")</f>
        <v>46203</v>
      </c>
      <c r="R134" s="17" t="str">
        <f>TEXT(B134,"dddd")</f>
        <v>Tuesday</v>
      </c>
    </row>
    <row r="135" spans="1:18">
      <c r="A135" s="5" t="s">
        <v>142</v>
      </c>
      <c r="B135" s="8">
        <v>46131</v>
      </c>
      <c r="C135" s="5" t="s">
        <v>974</v>
      </c>
      <c r="D135" s="5" t="s">
        <v>968</v>
      </c>
      <c r="E135" s="5" t="s">
        <v>982</v>
      </c>
      <c r="F135" s="5" t="s">
        <v>965</v>
      </c>
      <c r="G135" s="5">
        <v>4</v>
      </c>
      <c r="H135" s="5" t="s">
        <v>963</v>
      </c>
      <c r="I135" s="13">
        <v>517030747</v>
      </c>
      <c r="J135" s="10" t="s">
        <v>1118</v>
      </c>
      <c r="K135" t="str">
        <f>LEFT(C135,FIND(" ",C135)-1)&amp;"-"&amp;E135&amp;" "&amp;"Filialina çardırılma"</f>
        <v>Ramil-Baki Filialina çardırılma</v>
      </c>
      <c r="L135">
        <f>VLOOKUP(D135,Anbar!$A$2:$B$5,2,FALSE)</f>
        <v>400</v>
      </c>
      <c r="M135">
        <f>VLOOKUP(D135,Anbar!$A$2:$C$5,3,FALSE)</f>
        <v>650</v>
      </c>
      <c r="N135">
        <f t="shared" si="4"/>
        <v>2600</v>
      </c>
      <c r="O135">
        <f t="shared" si="5"/>
        <v>1000</v>
      </c>
      <c r="P135" t="str">
        <f>IF(AND(F135="Nağd",G135&gt;5),M135*0.9,"0%")</f>
        <v>0%</v>
      </c>
      <c r="Q135" s="9" t="str">
        <f>IF(F135="Kredit",EOMONTH(B135,0),"")</f>
        <v/>
      </c>
      <c r="R135" s="17" t="str">
        <f>TEXT(B135,"dddd")</f>
        <v>Sunday</v>
      </c>
    </row>
    <row r="136" spans="1:18">
      <c r="A136" s="5" t="s">
        <v>143</v>
      </c>
      <c r="B136" s="8">
        <v>46093</v>
      </c>
      <c r="C136" s="5" t="s">
        <v>974</v>
      </c>
      <c r="D136" s="5" t="s">
        <v>20</v>
      </c>
      <c r="E136" s="5" t="s">
        <v>982</v>
      </c>
      <c r="F136" s="5" t="s">
        <v>4</v>
      </c>
      <c r="G136" s="5">
        <v>6</v>
      </c>
      <c r="H136" s="5" t="s">
        <v>963</v>
      </c>
      <c r="I136" s="13">
        <v>505436656</v>
      </c>
      <c r="J136" s="10" t="s">
        <v>1119</v>
      </c>
      <c r="K136" t="str">
        <f>LEFT(C136,FIND(" ",C136)-1)&amp;"-"&amp;E136&amp;" "&amp;"Filialina çardırılma"</f>
        <v>Ramil-Baki Filialina çardırılma</v>
      </c>
      <c r="L136">
        <f>VLOOKUP(D136,Anbar!$A$2:$B$5,2,FALSE)</f>
        <v>15</v>
      </c>
      <c r="M136">
        <f>VLOOKUP(D136,Anbar!$A$2:$C$5,3,FALSE)</f>
        <v>45</v>
      </c>
      <c r="N136">
        <f t="shared" si="4"/>
        <v>270</v>
      </c>
      <c r="O136">
        <f t="shared" si="5"/>
        <v>180</v>
      </c>
      <c r="P136" t="str">
        <f>IF(AND(F136="Nağd",G136&gt;5),M136*0.9,"0%")</f>
        <v>0%</v>
      </c>
      <c r="Q136" s="9">
        <f>IF(F136="Kredit",EOMONTH(B136,0),"")</f>
        <v>46112</v>
      </c>
      <c r="R136" s="17" t="str">
        <f>TEXT(B136,"dddd")</f>
        <v>Thursday</v>
      </c>
    </row>
    <row r="137" spans="1:18">
      <c r="A137" s="5" t="s">
        <v>144</v>
      </c>
      <c r="B137" s="8">
        <v>46064</v>
      </c>
      <c r="C137" s="5" t="s">
        <v>976</v>
      </c>
      <c r="D137" s="5" t="s">
        <v>968</v>
      </c>
      <c r="E137" s="5" t="s">
        <v>9</v>
      </c>
      <c r="F137" s="5" t="s">
        <v>965</v>
      </c>
      <c r="G137" s="5">
        <v>5</v>
      </c>
      <c r="H137" s="5" t="s">
        <v>963</v>
      </c>
      <c r="I137" s="13">
        <v>506996572</v>
      </c>
      <c r="J137" s="10" t="s">
        <v>1120</v>
      </c>
      <c r="K137" t="str">
        <f>LEFT(C137,FIND(" ",C137)-1)&amp;"-"&amp;E137&amp;" "&amp;"Filialina çardırılma"</f>
        <v>Nərgin-Gence Filialina çardırılma</v>
      </c>
      <c r="L137">
        <f>VLOOKUP(D137,Anbar!$A$2:$B$5,2,FALSE)</f>
        <v>400</v>
      </c>
      <c r="M137">
        <f>VLOOKUP(D137,Anbar!$A$2:$C$5,3,FALSE)</f>
        <v>650</v>
      </c>
      <c r="N137">
        <f t="shared" si="4"/>
        <v>3250</v>
      </c>
      <c r="O137">
        <f t="shared" si="5"/>
        <v>1250</v>
      </c>
      <c r="P137" t="str">
        <f>IF(AND(F137="Nağd",G137&gt;5),M137*0.9,"0%")</f>
        <v>0%</v>
      </c>
      <c r="Q137" s="9" t="str">
        <f>IF(F137="Kredit",EOMONTH(B137,0),"")</f>
        <v/>
      </c>
      <c r="R137" s="17" t="str">
        <f>TEXT(B137,"dddd")</f>
        <v>Wednesday</v>
      </c>
    </row>
    <row r="138" spans="1:18">
      <c r="A138" s="5" t="s">
        <v>145</v>
      </c>
      <c r="B138" s="8">
        <v>46034</v>
      </c>
      <c r="C138" s="5" t="s">
        <v>979</v>
      </c>
      <c r="D138" s="5" t="s">
        <v>971</v>
      </c>
      <c r="E138" s="5" t="s">
        <v>964</v>
      </c>
      <c r="F138" s="5" t="s">
        <v>4</v>
      </c>
      <c r="G138" s="5">
        <v>2</v>
      </c>
      <c r="H138" s="5" t="s">
        <v>963</v>
      </c>
      <c r="I138" s="13">
        <v>558306674</v>
      </c>
      <c r="J138" s="10" t="s">
        <v>1121</v>
      </c>
      <c r="K138" t="str">
        <f>LEFT(C138,FIND(" ",C138)-1)&amp;"-"&amp;E138&amp;" "&amp;"Filialina çardırılma"</f>
        <v>Leyla-Sumqayıt Filialina çardırılma</v>
      </c>
      <c r="L138">
        <f>VLOOKUP(D138,Anbar!$A$2:$B$5,2,FALSE)</f>
        <v>1200</v>
      </c>
      <c r="M138">
        <f>VLOOKUP(D138,Anbar!$A$2:$C$5,3,FALSE)</f>
        <v>1800</v>
      </c>
      <c r="N138">
        <f t="shared" si="4"/>
        <v>3600</v>
      </c>
      <c r="O138">
        <f t="shared" si="5"/>
        <v>1200</v>
      </c>
      <c r="P138" t="str">
        <f>IF(AND(F138="Nağd",G138&gt;5),M138*0.9,"0%")</f>
        <v>0%</v>
      </c>
      <c r="Q138" s="9">
        <f>IF(F138="Kredit",EOMONTH(B138,0),"")</f>
        <v>46053</v>
      </c>
      <c r="R138" s="17" t="str">
        <f>TEXT(B138,"dddd")</f>
        <v>Monday</v>
      </c>
    </row>
    <row r="139" spans="1:18">
      <c r="A139" s="5" t="s">
        <v>146</v>
      </c>
      <c r="B139" s="8">
        <v>46069</v>
      </c>
      <c r="C139" s="5" t="s">
        <v>6</v>
      </c>
      <c r="D139" s="5" t="s">
        <v>20</v>
      </c>
      <c r="E139" s="5" t="s">
        <v>964</v>
      </c>
      <c r="F139" s="5" t="s">
        <v>965</v>
      </c>
      <c r="G139" s="5">
        <v>8</v>
      </c>
      <c r="H139" s="5" t="s">
        <v>963</v>
      </c>
      <c r="I139" s="13">
        <v>558311712</v>
      </c>
      <c r="J139" s="10" t="s">
        <v>1122</v>
      </c>
      <c r="K139" t="str">
        <f>LEFT(C139,FIND(" ",C139)-1)&amp;"-"&amp;E139&amp;" "&amp;"Filialina çardırılma"</f>
        <v>Zaur-Sumqayıt Filialina çardırılma</v>
      </c>
      <c r="L139">
        <f>VLOOKUP(D139,Anbar!$A$2:$B$5,2,FALSE)</f>
        <v>15</v>
      </c>
      <c r="M139">
        <f>VLOOKUP(D139,Anbar!$A$2:$C$5,3,FALSE)</f>
        <v>45</v>
      </c>
      <c r="N139">
        <f t="shared" si="4"/>
        <v>360</v>
      </c>
      <c r="O139">
        <f t="shared" si="5"/>
        <v>240</v>
      </c>
      <c r="P139">
        <f>IF(AND(F139="Nağd",G139&gt;5),M139*0.9,"0%")</f>
        <v>40.5</v>
      </c>
      <c r="Q139" s="9" t="str">
        <f>IF(F139="Kredit",EOMONTH(B139,0),"")</f>
        <v/>
      </c>
      <c r="R139" s="17" t="str">
        <f>TEXT(B139,"dddd")</f>
        <v>Monday</v>
      </c>
    </row>
    <row r="140" spans="1:18">
      <c r="A140" s="5" t="s">
        <v>147</v>
      </c>
      <c r="B140" s="8">
        <v>46171</v>
      </c>
      <c r="C140" s="5" t="s">
        <v>977</v>
      </c>
      <c r="D140" s="5" t="s">
        <v>15</v>
      </c>
      <c r="E140" s="5" t="s">
        <v>981</v>
      </c>
      <c r="F140" s="5" t="s">
        <v>4</v>
      </c>
      <c r="G140" s="5">
        <v>5</v>
      </c>
      <c r="H140" s="5" t="s">
        <v>963</v>
      </c>
      <c r="I140" s="13">
        <v>779546628</v>
      </c>
      <c r="J140" s="10" t="s">
        <v>1123</v>
      </c>
      <c r="K140" t="str">
        <f>LEFT(C140,FIND(" ",C140)-1)&amp;"-"&amp;E140&amp;" "&amp;"Filialina çardırılma"</f>
        <v>Elnur-Gəncə Filialina çardırılma</v>
      </c>
      <c r="L140">
        <f>VLOOKUP(D140,Anbar!$A$2:$B$5,2,FALSE)</f>
        <v>600</v>
      </c>
      <c r="M140">
        <f>VLOOKUP(D140,Anbar!$A$2:$C$5,3,FALSE)</f>
        <v>950</v>
      </c>
      <c r="N140">
        <f t="shared" si="4"/>
        <v>4750</v>
      </c>
      <c r="O140">
        <f t="shared" si="5"/>
        <v>1750</v>
      </c>
      <c r="P140" t="str">
        <f>IF(AND(F140="Nağd",G140&gt;5),M140*0.9,"0%")</f>
        <v>0%</v>
      </c>
      <c r="Q140" s="9">
        <f>IF(F140="Kredit",EOMONTH(B140,0),"")</f>
        <v>46173</v>
      </c>
      <c r="R140" s="17" t="str">
        <f>TEXT(B140,"dddd")</f>
        <v>Friday</v>
      </c>
    </row>
    <row r="141" spans="1:18">
      <c r="A141" s="5" t="s">
        <v>148</v>
      </c>
      <c r="B141" s="8">
        <v>46089</v>
      </c>
      <c r="C141" s="5" t="s">
        <v>975</v>
      </c>
      <c r="D141" s="5" t="s">
        <v>15</v>
      </c>
      <c r="E141" s="5" t="s">
        <v>983</v>
      </c>
      <c r="F141" s="5" t="s">
        <v>965</v>
      </c>
      <c r="G141" s="5">
        <v>3</v>
      </c>
      <c r="H141" s="5" t="s">
        <v>963</v>
      </c>
      <c r="I141" s="13">
        <v>704020235</v>
      </c>
      <c r="J141" s="10" t="s">
        <v>1124</v>
      </c>
      <c r="K141" t="str">
        <f>LEFT(C141,FIND(" ",C141)-1)&amp;"-"&amp;E141&amp;" "&amp;"Filialina çardırılma"</f>
        <v>Murad-Naməlum Filialina çardırılma</v>
      </c>
      <c r="L141">
        <f>VLOOKUP(D141,Anbar!$A$2:$B$5,2,FALSE)</f>
        <v>600</v>
      </c>
      <c r="M141">
        <f>VLOOKUP(D141,Anbar!$A$2:$C$5,3,FALSE)</f>
        <v>950</v>
      </c>
      <c r="N141">
        <f t="shared" si="4"/>
        <v>2850</v>
      </c>
      <c r="O141">
        <f t="shared" si="5"/>
        <v>1050</v>
      </c>
      <c r="P141" t="str">
        <f>IF(AND(F141="Nağd",G141&gt;5),M141*0.9,"0%")</f>
        <v>0%</v>
      </c>
      <c r="Q141" s="9" t="str">
        <f>IF(F141="Kredit",EOMONTH(B141,0),"")</f>
        <v/>
      </c>
      <c r="R141" s="17" t="str">
        <f>TEXT(B141,"dddd")</f>
        <v>Sunday</v>
      </c>
    </row>
    <row r="142" spans="1:18">
      <c r="A142" s="5" t="s">
        <v>149</v>
      </c>
      <c r="B142" s="8">
        <v>46114</v>
      </c>
      <c r="C142" s="5" t="s">
        <v>967</v>
      </c>
      <c r="D142" s="5" t="s">
        <v>971</v>
      </c>
      <c r="E142" s="5" t="s">
        <v>981</v>
      </c>
      <c r="F142" s="5" t="s">
        <v>965</v>
      </c>
      <c r="G142" s="5">
        <v>10</v>
      </c>
      <c r="H142" s="5" t="s">
        <v>963</v>
      </c>
      <c r="I142" s="13">
        <v>708842378</v>
      </c>
      <c r="J142" s="10" t="s">
        <v>1125</v>
      </c>
      <c r="K142" t="str">
        <f>LEFT(C142,FIND(" ",C142)-1)&amp;"-"&amp;E142&amp;" "&amp;"Filialina çardırılma"</f>
        <v>Aysel-Gəncə Filialina çardırılma</v>
      </c>
      <c r="L142">
        <f>VLOOKUP(D142,Anbar!$A$2:$B$5,2,FALSE)</f>
        <v>1200</v>
      </c>
      <c r="M142">
        <f>VLOOKUP(D142,Anbar!$A$2:$C$5,3,FALSE)</f>
        <v>1800</v>
      </c>
      <c r="N142">
        <f t="shared" si="4"/>
        <v>18000</v>
      </c>
      <c r="O142">
        <f t="shared" si="5"/>
        <v>6000</v>
      </c>
      <c r="P142">
        <f>IF(AND(F142="Nağd",G142&gt;5),M142*0.9,"0%")</f>
        <v>1620</v>
      </c>
      <c r="Q142" s="9" t="str">
        <f>IF(F142="Kredit",EOMONTH(B142,0),"")</f>
        <v/>
      </c>
      <c r="R142" s="17" t="str">
        <f>TEXT(B142,"dddd")</f>
        <v>Thursday</v>
      </c>
    </row>
    <row r="143" spans="1:18">
      <c r="A143" s="5" t="s">
        <v>150</v>
      </c>
      <c r="B143" s="8">
        <v>46103</v>
      </c>
      <c r="C143" s="5" t="s">
        <v>974</v>
      </c>
      <c r="D143" s="5" t="s">
        <v>15</v>
      </c>
      <c r="E143" s="5" t="s">
        <v>982</v>
      </c>
      <c r="F143" s="5" t="s">
        <v>4</v>
      </c>
      <c r="G143" s="5">
        <v>4</v>
      </c>
      <c r="H143" s="5" t="s">
        <v>963</v>
      </c>
      <c r="I143" s="13">
        <v>705896912</v>
      </c>
      <c r="J143" s="10" t="s">
        <v>1126</v>
      </c>
      <c r="K143" t="str">
        <f>LEFT(C143,FIND(" ",C143)-1)&amp;"-"&amp;E143&amp;" "&amp;"Filialina çardırılma"</f>
        <v>Ramil-Baki Filialina çardırılma</v>
      </c>
      <c r="L143">
        <f>VLOOKUP(D143,Anbar!$A$2:$B$5,2,FALSE)</f>
        <v>600</v>
      </c>
      <c r="M143">
        <f>VLOOKUP(D143,Anbar!$A$2:$C$5,3,FALSE)</f>
        <v>950</v>
      </c>
      <c r="N143">
        <f t="shared" si="4"/>
        <v>3800</v>
      </c>
      <c r="O143">
        <f t="shared" si="5"/>
        <v>1400</v>
      </c>
      <c r="P143" t="str">
        <f>IF(AND(F143="Nağd",G143&gt;5),M143*0.9,"0%")</f>
        <v>0%</v>
      </c>
      <c r="Q143" s="9">
        <f>IF(F143="Kredit",EOMONTH(B143,0),"")</f>
        <v>46112</v>
      </c>
      <c r="R143" s="17" t="str">
        <f>TEXT(B143,"dddd")</f>
        <v>Sunday</v>
      </c>
    </row>
    <row r="144" spans="1:18">
      <c r="A144" s="5" t="s">
        <v>151</v>
      </c>
      <c r="B144" s="8">
        <v>46098</v>
      </c>
      <c r="C144" s="5" t="s">
        <v>974</v>
      </c>
      <c r="D144" s="5" t="s">
        <v>15</v>
      </c>
      <c r="E144" s="5" t="s">
        <v>982</v>
      </c>
      <c r="F144" s="5" t="s">
        <v>4</v>
      </c>
      <c r="G144" s="5">
        <v>9</v>
      </c>
      <c r="H144" s="5" t="s">
        <v>963</v>
      </c>
      <c r="I144" s="13">
        <v>500769196</v>
      </c>
      <c r="J144" s="10" t="s">
        <v>1127</v>
      </c>
      <c r="K144" t="str">
        <f>LEFT(C144,FIND(" ",C144)-1)&amp;"-"&amp;E144&amp;" "&amp;"Filialina çardırılma"</f>
        <v>Ramil-Baki Filialina çardırılma</v>
      </c>
      <c r="L144">
        <f>VLOOKUP(D144,Anbar!$A$2:$B$5,2,FALSE)</f>
        <v>600</v>
      </c>
      <c r="M144">
        <f>VLOOKUP(D144,Anbar!$A$2:$C$5,3,FALSE)</f>
        <v>950</v>
      </c>
      <c r="N144">
        <f t="shared" si="4"/>
        <v>8550</v>
      </c>
      <c r="O144">
        <f t="shared" si="5"/>
        <v>3150</v>
      </c>
      <c r="P144" t="str">
        <f>IF(AND(F144="Nağd",G144&gt;5),M144*0.9,"0%")</f>
        <v>0%</v>
      </c>
      <c r="Q144" s="9">
        <f>IF(F144="Kredit",EOMONTH(B144,0),"")</f>
        <v>46112</v>
      </c>
      <c r="R144" s="17" t="str">
        <f>TEXT(B144,"dddd")</f>
        <v>Tuesday</v>
      </c>
    </row>
    <row r="145" spans="1:18">
      <c r="A145" s="5" t="s">
        <v>152</v>
      </c>
      <c r="B145" s="8">
        <v>46163</v>
      </c>
      <c r="C145" s="5" t="s">
        <v>978</v>
      </c>
      <c r="D145" s="5" t="s">
        <v>20</v>
      </c>
      <c r="E145" s="5" t="s">
        <v>981</v>
      </c>
      <c r="F145" s="5" t="s">
        <v>965</v>
      </c>
      <c r="G145" s="5">
        <v>2</v>
      </c>
      <c r="H145" s="5" t="s">
        <v>963</v>
      </c>
      <c r="I145" s="13">
        <v>705886501</v>
      </c>
      <c r="J145" s="10" t="s">
        <v>1128</v>
      </c>
      <c r="K145" t="str">
        <f>LEFT(C145,FIND(" ",C145)-1)&amp;"-"&amp;E145&amp;" "&amp;"Filialina çardırılma"</f>
        <v>Əli-Gəncə Filialina çardırılma</v>
      </c>
      <c r="L145">
        <f>VLOOKUP(D145,Anbar!$A$2:$B$5,2,FALSE)</f>
        <v>15</v>
      </c>
      <c r="M145">
        <f>VLOOKUP(D145,Anbar!$A$2:$C$5,3,FALSE)</f>
        <v>45</v>
      </c>
      <c r="N145">
        <f t="shared" si="4"/>
        <v>90</v>
      </c>
      <c r="O145">
        <f t="shared" si="5"/>
        <v>60</v>
      </c>
      <c r="P145" t="str">
        <f>IF(AND(F145="Nağd",G145&gt;5),M145*0.9,"0%")</f>
        <v>0%</v>
      </c>
      <c r="Q145" s="9" t="str">
        <f>IF(F145="Kredit",EOMONTH(B145,0),"")</f>
        <v/>
      </c>
      <c r="R145" s="17" t="str">
        <f>TEXT(B145,"dddd")</f>
        <v>Thursday</v>
      </c>
    </row>
    <row r="146" spans="1:18">
      <c r="A146" s="5" t="s">
        <v>153</v>
      </c>
      <c r="B146" s="8">
        <v>46173</v>
      </c>
      <c r="C146" s="5" t="s">
        <v>979</v>
      </c>
      <c r="D146" s="5" t="s">
        <v>20</v>
      </c>
      <c r="E146" s="5" t="s">
        <v>966</v>
      </c>
      <c r="F146" s="5" t="s">
        <v>965</v>
      </c>
      <c r="G146" s="5">
        <v>7</v>
      </c>
      <c r="H146" s="5" t="s">
        <v>963</v>
      </c>
      <c r="I146" s="13">
        <v>510875220</v>
      </c>
      <c r="J146" s="10" t="s">
        <v>1129</v>
      </c>
      <c r="K146" t="str">
        <f>LEFT(C146,FIND(" ",C146)-1)&amp;"-"&amp;E146&amp;" "&amp;"Filialina çardırılma"</f>
        <v>Leyla-Bakı Filialina çardırılma</v>
      </c>
      <c r="L146">
        <f>VLOOKUP(D146,Anbar!$A$2:$B$5,2,FALSE)</f>
        <v>15</v>
      </c>
      <c r="M146">
        <f>VLOOKUP(D146,Anbar!$A$2:$C$5,3,FALSE)</f>
        <v>45</v>
      </c>
      <c r="N146">
        <f t="shared" si="4"/>
        <v>315</v>
      </c>
      <c r="O146">
        <f t="shared" si="5"/>
        <v>210</v>
      </c>
      <c r="P146">
        <f>IF(AND(F146="Nağd",G146&gt;5),M146*0.9,"0%")</f>
        <v>40.5</v>
      </c>
      <c r="Q146" s="9" t="str">
        <f>IF(F146="Kredit",EOMONTH(B146,0),"")</f>
        <v/>
      </c>
      <c r="R146" s="17" t="str">
        <f>TEXT(B146,"dddd")</f>
        <v>Sunday</v>
      </c>
    </row>
    <row r="147" spans="1:18">
      <c r="A147" s="5" t="s">
        <v>154</v>
      </c>
      <c r="B147" s="8">
        <v>46101</v>
      </c>
      <c r="C147" s="5" t="s">
        <v>975</v>
      </c>
      <c r="D147" s="5" t="s">
        <v>971</v>
      </c>
      <c r="E147" s="5" t="s">
        <v>9</v>
      </c>
      <c r="F147" s="5" t="s">
        <v>7</v>
      </c>
      <c r="G147" s="5">
        <v>1</v>
      </c>
      <c r="H147" s="5" t="s">
        <v>963</v>
      </c>
      <c r="I147" s="13">
        <v>706118657</v>
      </c>
      <c r="J147" s="10" t="s">
        <v>1130</v>
      </c>
      <c r="K147" t="str">
        <f>LEFT(C147,FIND(" ",C147)-1)&amp;"-"&amp;E147&amp;" "&amp;"Filialina çardırılma"</f>
        <v>Murad-Gence Filialina çardırılma</v>
      </c>
      <c r="L147">
        <f>VLOOKUP(D147,Anbar!$A$2:$B$5,2,FALSE)</f>
        <v>1200</v>
      </c>
      <c r="M147">
        <f>VLOOKUP(D147,Anbar!$A$2:$C$5,3,FALSE)</f>
        <v>1800</v>
      </c>
      <c r="N147">
        <f t="shared" si="4"/>
        <v>1800</v>
      </c>
      <c r="O147">
        <f t="shared" si="5"/>
        <v>600</v>
      </c>
      <c r="P147" t="str">
        <f>IF(AND(F147="Nağd",G147&gt;5),M147*0.9,"0%")</f>
        <v>0%</v>
      </c>
      <c r="Q147" s="9" t="str">
        <f>IF(F147="Kredit",EOMONTH(B147,0),"")</f>
        <v/>
      </c>
      <c r="R147" s="17" t="str">
        <f>TEXT(B147,"dddd")</f>
        <v>Friday</v>
      </c>
    </row>
    <row r="148" spans="1:18">
      <c r="A148" s="5" t="s">
        <v>155</v>
      </c>
      <c r="B148" s="8">
        <v>46119</v>
      </c>
      <c r="C148" s="5" t="s">
        <v>6</v>
      </c>
      <c r="D148" s="5" t="s">
        <v>971</v>
      </c>
      <c r="E148" s="5" t="s">
        <v>964</v>
      </c>
      <c r="F148" s="5" t="s">
        <v>965</v>
      </c>
      <c r="G148" s="5">
        <v>4</v>
      </c>
      <c r="H148" s="5" t="s">
        <v>963</v>
      </c>
      <c r="I148" s="13">
        <v>704032642</v>
      </c>
      <c r="J148" s="10" t="s">
        <v>1131</v>
      </c>
      <c r="K148" t="str">
        <f>LEFT(C148,FIND(" ",C148)-1)&amp;"-"&amp;E148&amp;" "&amp;"Filialina çardırılma"</f>
        <v>Zaur-Sumqayıt Filialina çardırılma</v>
      </c>
      <c r="L148">
        <f>VLOOKUP(D148,Anbar!$A$2:$B$5,2,FALSE)</f>
        <v>1200</v>
      </c>
      <c r="M148">
        <f>VLOOKUP(D148,Anbar!$A$2:$C$5,3,FALSE)</f>
        <v>1800</v>
      </c>
      <c r="N148">
        <f t="shared" si="4"/>
        <v>7200</v>
      </c>
      <c r="O148">
        <f t="shared" si="5"/>
        <v>2400</v>
      </c>
      <c r="P148" t="str">
        <f>IF(AND(F148="Nağd",G148&gt;5),M148*0.9,"0%")</f>
        <v>0%</v>
      </c>
      <c r="Q148" s="9" t="str">
        <f>IF(F148="Kredit",EOMONTH(B148,0),"")</f>
        <v/>
      </c>
      <c r="R148" s="17" t="str">
        <f>TEXT(B148,"dddd")</f>
        <v>Tuesday</v>
      </c>
    </row>
    <row r="149" spans="1:18">
      <c r="A149" s="5" t="s">
        <v>156</v>
      </c>
      <c r="B149" s="8">
        <v>46088</v>
      </c>
      <c r="C149" s="5" t="s">
        <v>967</v>
      </c>
      <c r="D149" s="5" t="s">
        <v>968</v>
      </c>
      <c r="E149" s="5" t="s">
        <v>982</v>
      </c>
      <c r="F149" s="5" t="s">
        <v>965</v>
      </c>
      <c r="G149" s="5">
        <v>6</v>
      </c>
      <c r="H149" s="5" t="s">
        <v>963</v>
      </c>
      <c r="I149" s="13">
        <v>552179146</v>
      </c>
      <c r="J149" s="10" t="s">
        <v>1132</v>
      </c>
      <c r="K149" t="str">
        <f>LEFT(C149,FIND(" ",C149)-1)&amp;"-"&amp;E149&amp;" "&amp;"Filialina çardırılma"</f>
        <v>Aysel-Baki Filialina çardırılma</v>
      </c>
      <c r="L149">
        <f>VLOOKUP(D149,Anbar!$A$2:$B$5,2,FALSE)</f>
        <v>400</v>
      </c>
      <c r="M149">
        <f>VLOOKUP(D149,Anbar!$A$2:$C$5,3,FALSE)</f>
        <v>650</v>
      </c>
      <c r="N149">
        <f t="shared" si="4"/>
        <v>3900</v>
      </c>
      <c r="O149">
        <f t="shared" si="5"/>
        <v>1500</v>
      </c>
      <c r="P149">
        <f>IF(AND(F149="Nağd",G149&gt;5),M149*0.9,"0%")</f>
        <v>585</v>
      </c>
      <c r="Q149" s="9" t="str">
        <f>IF(F149="Kredit",EOMONTH(B149,0),"")</f>
        <v/>
      </c>
      <c r="R149" s="17" t="str">
        <f>TEXT(B149,"dddd")</f>
        <v>Saturday</v>
      </c>
    </row>
    <row r="150" spans="1:18">
      <c r="A150" s="5" t="s">
        <v>157</v>
      </c>
      <c r="B150" s="8">
        <v>46062</v>
      </c>
      <c r="C150" s="5" t="s">
        <v>978</v>
      </c>
      <c r="D150" s="5" t="s">
        <v>15</v>
      </c>
      <c r="E150" s="5" t="s">
        <v>980</v>
      </c>
      <c r="F150" s="5" t="s">
        <v>965</v>
      </c>
      <c r="G150" s="5">
        <v>10</v>
      </c>
      <c r="H150" s="5" t="s">
        <v>963</v>
      </c>
      <c r="I150" s="13">
        <v>708217081</v>
      </c>
      <c r="J150" s="10" t="s">
        <v>1133</v>
      </c>
      <c r="K150" t="str">
        <f>LEFT(C150,FIND(" ",C150)-1)&amp;"-"&amp;E150&amp;" "&amp;"Filialina çardırılma"</f>
        <v>Əli-Sumqayit Filialina çardırılma</v>
      </c>
      <c r="L150">
        <f>VLOOKUP(D150,Anbar!$A$2:$B$5,2,FALSE)</f>
        <v>600</v>
      </c>
      <c r="M150">
        <f>VLOOKUP(D150,Anbar!$A$2:$C$5,3,FALSE)</f>
        <v>950</v>
      </c>
      <c r="N150">
        <f t="shared" si="4"/>
        <v>9500</v>
      </c>
      <c r="O150">
        <f t="shared" si="5"/>
        <v>3500</v>
      </c>
      <c r="P150">
        <f>IF(AND(F150="Nağd",G150&gt;5),M150*0.9,"0%")</f>
        <v>855</v>
      </c>
      <c r="Q150" s="9" t="str">
        <f>IF(F150="Kredit",EOMONTH(B150,0),"")</f>
        <v/>
      </c>
      <c r="R150" s="17" t="str">
        <f>TEXT(B150,"dddd")</f>
        <v>Monday</v>
      </c>
    </row>
    <row r="151" spans="1:18">
      <c r="A151" s="5" t="s">
        <v>158</v>
      </c>
      <c r="B151" s="8">
        <v>46117</v>
      </c>
      <c r="C151" s="5" t="s">
        <v>979</v>
      </c>
      <c r="D151" s="5" t="s">
        <v>15</v>
      </c>
      <c r="E151" s="5" t="s">
        <v>982</v>
      </c>
      <c r="F151" s="5" t="s">
        <v>7</v>
      </c>
      <c r="G151" s="5">
        <v>4</v>
      </c>
      <c r="H151" s="5" t="s">
        <v>963</v>
      </c>
      <c r="I151" s="13">
        <v>776633689</v>
      </c>
      <c r="J151" s="10" t="s">
        <v>1134</v>
      </c>
      <c r="K151" t="str">
        <f>LEFT(C151,FIND(" ",C151)-1)&amp;"-"&amp;E151&amp;" "&amp;"Filialina çardırılma"</f>
        <v>Leyla-Baki Filialina çardırılma</v>
      </c>
      <c r="L151">
        <f>VLOOKUP(D151,Anbar!$A$2:$B$5,2,FALSE)</f>
        <v>600</v>
      </c>
      <c r="M151">
        <f>VLOOKUP(D151,Anbar!$A$2:$C$5,3,FALSE)</f>
        <v>950</v>
      </c>
      <c r="N151">
        <f t="shared" si="4"/>
        <v>3800</v>
      </c>
      <c r="O151">
        <f t="shared" si="5"/>
        <v>1400</v>
      </c>
      <c r="P151" t="str">
        <f>IF(AND(F151="Nağd",G151&gt;5),M151*0.9,"0%")</f>
        <v>0%</v>
      </c>
      <c r="Q151" s="9" t="str">
        <f>IF(F151="Kredit",EOMONTH(B151,0),"")</f>
        <v/>
      </c>
      <c r="R151" s="17" t="str">
        <f>TEXT(B151,"dddd")</f>
        <v>Sunday</v>
      </c>
    </row>
    <row r="152" spans="1:18">
      <c r="A152" s="5" t="s">
        <v>159</v>
      </c>
      <c r="B152" s="8">
        <v>46159</v>
      </c>
      <c r="C152" s="5" t="s">
        <v>977</v>
      </c>
      <c r="D152" s="5" t="s">
        <v>968</v>
      </c>
      <c r="E152" s="5" t="s">
        <v>982</v>
      </c>
      <c r="F152" s="5" t="s">
        <v>4</v>
      </c>
      <c r="G152" s="5">
        <v>9</v>
      </c>
      <c r="H152" s="5" t="s">
        <v>963</v>
      </c>
      <c r="I152" s="13">
        <v>551127922</v>
      </c>
      <c r="J152" s="10" t="s">
        <v>1135</v>
      </c>
      <c r="K152" t="str">
        <f>LEFT(C152,FIND(" ",C152)-1)&amp;"-"&amp;E152&amp;" "&amp;"Filialina çardırılma"</f>
        <v>Elnur-Baki Filialina çardırılma</v>
      </c>
      <c r="L152">
        <f>VLOOKUP(D152,Anbar!$A$2:$B$5,2,FALSE)</f>
        <v>400</v>
      </c>
      <c r="M152">
        <f>VLOOKUP(D152,Anbar!$A$2:$C$5,3,FALSE)</f>
        <v>650</v>
      </c>
      <c r="N152">
        <f t="shared" si="4"/>
        <v>5850</v>
      </c>
      <c r="O152">
        <f t="shared" si="5"/>
        <v>2250</v>
      </c>
      <c r="P152" t="str">
        <f>IF(AND(F152="Nağd",G152&gt;5),M152*0.9,"0%")</f>
        <v>0%</v>
      </c>
      <c r="Q152" s="9">
        <f>IF(F152="Kredit",EOMONTH(B152,0),"")</f>
        <v>46173</v>
      </c>
      <c r="R152" s="17" t="str">
        <f>TEXT(B152,"dddd")</f>
        <v>Sunday</v>
      </c>
    </row>
    <row r="153" spans="1:18">
      <c r="A153" s="5" t="s">
        <v>160</v>
      </c>
      <c r="B153" s="8">
        <v>46038</v>
      </c>
      <c r="C153" s="5" t="s">
        <v>979</v>
      </c>
      <c r="D153" s="5" t="s">
        <v>20</v>
      </c>
      <c r="E153" s="5" t="s">
        <v>966</v>
      </c>
      <c r="F153" s="5" t="s">
        <v>4</v>
      </c>
      <c r="G153" s="5">
        <v>5</v>
      </c>
      <c r="H153" s="5" t="s">
        <v>963</v>
      </c>
      <c r="I153" s="13">
        <v>558104978</v>
      </c>
      <c r="J153" s="10" t="s">
        <v>1136</v>
      </c>
      <c r="K153" t="str">
        <f>LEFT(C153,FIND(" ",C153)-1)&amp;"-"&amp;E153&amp;" "&amp;"Filialina çardırılma"</f>
        <v>Leyla-Bakı Filialina çardırılma</v>
      </c>
      <c r="L153">
        <f>VLOOKUP(D153,Anbar!$A$2:$B$5,2,FALSE)</f>
        <v>15</v>
      </c>
      <c r="M153">
        <f>VLOOKUP(D153,Anbar!$A$2:$C$5,3,FALSE)</f>
        <v>45</v>
      </c>
      <c r="N153">
        <f t="shared" si="4"/>
        <v>225</v>
      </c>
      <c r="O153">
        <f t="shared" si="5"/>
        <v>150</v>
      </c>
      <c r="P153" t="str">
        <f>IF(AND(F153="Nağd",G153&gt;5),M153*0.9,"0%")</f>
        <v>0%</v>
      </c>
      <c r="Q153" s="9">
        <f>IF(F153="Kredit",EOMONTH(B153,0),"")</f>
        <v>46053</v>
      </c>
      <c r="R153" s="17" t="str">
        <f>TEXT(B153,"dddd")</f>
        <v>Friday</v>
      </c>
    </row>
    <row r="154" spans="1:18">
      <c r="A154" s="5" t="s">
        <v>161</v>
      </c>
      <c r="B154" s="8">
        <v>46097</v>
      </c>
      <c r="C154" s="5" t="s">
        <v>977</v>
      </c>
      <c r="D154" s="5" t="s">
        <v>971</v>
      </c>
      <c r="E154" s="5" t="s">
        <v>980</v>
      </c>
      <c r="F154" s="5" t="s">
        <v>965</v>
      </c>
      <c r="G154" s="5">
        <v>5</v>
      </c>
      <c r="H154" s="5" t="s">
        <v>963</v>
      </c>
      <c r="I154" s="13">
        <v>773686243</v>
      </c>
      <c r="J154" s="10" t="s">
        <v>1137</v>
      </c>
      <c r="K154" t="str">
        <f>LEFT(C154,FIND(" ",C154)-1)&amp;"-"&amp;E154&amp;" "&amp;"Filialina çardırılma"</f>
        <v>Elnur-Sumqayit Filialina çardırılma</v>
      </c>
      <c r="L154">
        <f>VLOOKUP(D154,Anbar!$A$2:$B$5,2,FALSE)</f>
        <v>1200</v>
      </c>
      <c r="M154">
        <f>VLOOKUP(D154,Anbar!$A$2:$C$5,3,FALSE)</f>
        <v>1800</v>
      </c>
      <c r="N154">
        <f t="shared" si="4"/>
        <v>9000</v>
      </c>
      <c r="O154">
        <f t="shared" si="5"/>
        <v>3000</v>
      </c>
      <c r="P154" t="str">
        <f>IF(AND(F154="Nağd",G154&gt;5),M154*0.9,"0%")</f>
        <v>0%</v>
      </c>
      <c r="Q154" s="9" t="str">
        <f>IF(F154="Kredit",EOMONTH(B154,0),"")</f>
        <v/>
      </c>
      <c r="R154" s="17" t="str">
        <f>TEXT(B154,"dddd")</f>
        <v>Monday</v>
      </c>
    </row>
    <row r="155" spans="1:18">
      <c r="A155" s="5" t="s">
        <v>162</v>
      </c>
      <c r="B155" s="8">
        <v>46164</v>
      </c>
      <c r="C155" s="5" t="s">
        <v>979</v>
      </c>
      <c r="D155" s="5" t="s">
        <v>20</v>
      </c>
      <c r="E155" s="5" t="s">
        <v>964</v>
      </c>
      <c r="F155" s="5" t="s">
        <v>965</v>
      </c>
      <c r="G155" s="5">
        <v>1</v>
      </c>
      <c r="H155" s="5" t="s">
        <v>963</v>
      </c>
      <c r="I155" s="13">
        <v>709874139</v>
      </c>
      <c r="J155" s="10" t="s">
        <v>1138</v>
      </c>
      <c r="K155" t="str">
        <f>LEFT(C155,FIND(" ",C155)-1)&amp;"-"&amp;E155&amp;" "&amp;"Filialina çardırılma"</f>
        <v>Leyla-Sumqayıt Filialina çardırılma</v>
      </c>
      <c r="L155">
        <f>VLOOKUP(D155,Anbar!$A$2:$B$5,2,FALSE)</f>
        <v>15</v>
      </c>
      <c r="M155">
        <f>VLOOKUP(D155,Anbar!$A$2:$C$5,3,FALSE)</f>
        <v>45</v>
      </c>
      <c r="N155">
        <f t="shared" si="4"/>
        <v>45</v>
      </c>
      <c r="O155">
        <f t="shared" si="5"/>
        <v>30</v>
      </c>
      <c r="P155" t="str">
        <f>IF(AND(F155="Nağd",G155&gt;5),M155*0.9,"0%")</f>
        <v>0%</v>
      </c>
      <c r="Q155" s="9" t="str">
        <f>IF(F155="Kredit",EOMONTH(B155,0),"")</f>
        <v/>
      </c>
      <c r="R155" s="17" t="str">
        <f>TEXT(B155,"dddd")</f>
        <v>Friday</v>
      </c>
    </row>
    <row r="156" spans="1:18">
      <c r="A156" s="5" t="s">
        <v>163</v>
      </c>
      <c r="B156" s="8">
        <v>46046</v>
      </c>
      <c r="C156" s="5" t="s">
        <v>974</v>
      </c>
      <c r="D156" s="5" t="s">
        <v>968</v>
      </c>
      <c r="E156" s="5" t="s">
        <v>964</v>
      </c>
      <c r="F156" s="5" t="s">
        <v>965</v>
      </c>
      <c r="G156" s="5">
        <v>5</v>
      </c>
      <c r="H156" s="5" t="s">
        <v>963</v>
      </c>
      <c r="I156" s="13">
        <v>511590046</v>
      </c>
      <c r="J156" s="10" t="s">
        <v>1139</v>
      </c>
      <c r="K156" t="str">
        <f>LEFT(C156,FIND(" ",C156)-1)&amp;"-"&amp;E156&amp;" "&amp;"Filialina çardırılma"</f>
        <v>Ramil-Sumqayıt Filialina çardırılma</v>
      </c>
      <c r="L156">
        <f>VLOOKUP(D156,Anbar!$A$2:$B$5,2,FALSE)</f>
        <v>400</v>
      </c>
      <c r="M156">
        <f>VLOOKUP(D156,Anbar!$A$2:$C$5,3,FALSE)</f>
        <v>650</v>
      </c>
      <c r="N156">
        <f t="shared" si="4"/>
        <v>3250</v>
      </c>
      <c r="O156">
        <f t="shared" si="5"/>
        <v>1250</v>
      </c>
      <c r="P156" t="str">
        <f>IF(AND(F156="Nağd",G156&gt;5),M156*0.9,"0%")</f>
        <v>0%</v>
      </c>
      <c r="Q156" s="9" t="str">
        <f>IF(F156="Kredit",EOMONTH(B156,0),"")</f>
        <v/>
      </c>
      <c r="R156" s="17" t="str">
        <f>TEXT(B156,"dddd")</f>
        <v>Saturday</v>
      </c>
    </row>
    <row r="157" spans="1:18">
      <c r="A157" s="5" t="s">
        <v>164</v>
      </c>
      <c r="B157" s="8">
        <v>46035</v>
      </c>
      <c r="C157" s="5" t="s">
        <v>979</v>
      </c>
      <c r="D157" s="5" t="s">
        <v>20</v>
      </c>
      <c r="E157" s="5" t="s">
        <v>982</v>
      </c>
      <c r="F157" s="5" t="s">
        <v>965</v>
      </c>
      <c r="G157" s="5">
        <v>9</v>
      </c>
      <c r="H157" s="5" t="s">
        <v>963</v>
      </c>
      <c r="I157" s="13">
        <v>555872040</v>
      </c>
      <c r="J157" s="10" t="s">
        <v>1140</v>
      </c>
      <c r="K157" t="str">
        <f>LEFT(C157,FIND(" ",C157)-1)&amp;"-"&amp;E157&amp;" "&amp;"Filialina çardırılma"</f>
        <v>Leyla-Baki Filialina çardırılma</v>
      </c>
      <c r="L157">
        <f>VLOOKUP(D157,Anbar!$A$2:$B$5,2,FALSE)</f>
        <v>15</v>
      </c>
      <c r="M157">
        <f>VLOOKUP(D157,Anbar!$A$2:$C$5,3,FALSE)</f>
        <v>45</v>
      </c>
      <c r="N157">
        <f t="shared" si="4"/>
        <v>405</v>
      </c>
      <c r="O157">
        <f t="shared" si="5"/>
        <v>270</v>
      </c>
      <c r="P157">
        <f>IF(AND(F157="Nağd",G157&gt;5),M157*0.9,"0%")</f>
        <v>40.5</v>
      </c>
      <c r="Q157" s="9" t="str">
        <f>IF(F157="Kredit",EOMONTH(B157,0),"")</f>
        <v/>
      </c>
      <c r="R157" s="17" t="str">
        <f>TEXT(B157,"dddd")</f>
        <v>Tuesday</v>
      </c>
    </row>
    <row r="158" spans="1:18">
      <c r="A158" s="5" t="s">
        <v>165</v>
      </c>
      <c r="B158" s="8">
        <v>46086</v>
      </c>
      <c r="C158" s="5" t="s">
        <v>6</v>
      </c>
      <c r="D158" s="5" t="s">
        <v>968</v>
      </c>
      <c r="E158" s="5" t="s">
        <v>980</v>
      </c>
      <c r="F158" s="5" t="s">
        <v>965</v>
      </c>
      <c r="G158" s="5">
        <v>10</v>
      </c>
      <c r="H158" s="5" t="s">
        <v>963</v>
      </c>
      <c r="I158" s="13">
        <v>556176612</v>
      </c>
      <c r="J158" s="10" t="s">
        <v>1141</v>
      </c>
      <c r="K158" t="str">
        <f>LEFT(C158,FIND(" ",C158)-1)&amp;"-"&amp;E158&amp;" "&amp;"Filialina çardırılma"</f>
        <v>Zaur-Sumqayit Filialina çardırılma</v>
      </c>
      <c r="L158">
        <f>VLOOKUP(D158,Anbar!$A$2:$B$5,2,FALSE)</f>
        <v>400</v>
      </c>
      <c r="M158">
        <f>VLOOKUP(D158,Anbar!$A$2:$C$5,3,FALSE)</f>
        <v>650</v>
      </c>
      <c r="N158">
        <f t="shared" si="4"/>
        <v>6500</v>
      </c>
      <c r="O158">
        <f t="shared" si="5"/>
        <v>2500</v>
      </c>
      <c r="P158">
        <f>IF(AND(F158="Nağd",G158&gt;5),M158*0.9,"0%")</f>
        <v>585</v>
      </c>
      <c r="Q158" s="9" t="str">
        <f>IF(F158="Kredit",EOMONTH(B158,0),"")</f>
        <v/>
      </c>
      <c r="R158" s="17" t="str">
        <f>TEXT(B158,"dddd")</f>
        <v>Thursday</v>
      </c>
    </row>
    <row r="159" spans="1:18">
      <c r="A159" s="5" t="s">
        <v>166</v>
      </c>
      <c r="B159" s="8">
        <v>46142</v>
      </c>
      <c r="C159" s="5" t="s">
        <v>979</v>
      </c>
      <c r="D159" s="5" t="s">
        <v>15</v>
      </c>
      <c r="E159" s="5" t="s">
        <v>981</v>
      </c>
      <c r="F159" s="5" t="s">
        <v>7</v>
      </c>
      <c r="G159" s="5">
        <v>7</v>
      </c>
      <c r="H159" s="5" t="s">
        <v>963</v>
      </c>
      <c r="I159" s="13">
        <v>772640901</v>
      </c>
      <c r="J159" s="10" t="s">
        <v>1142</v>
      </c>
      <c r="K159" t="str">
        <f>LEFT(C159,FIND(" ",C159)-1)&amp;"-"&amp;E159&amp;" "&amp;"Filialina çardırılma"</f>
        <v>Leyla-Gəncə Filialina çardırılma</v>
      </c>
      <c r="L159">
        <f>VLOOKUP(D159,Anbar!$A$2:$B$5,2,FALSE)</f>
        <v>600</v>
      </c>
      <c r="M159">
        <f>VLOOKUP(D159,Anbar!$A$2:$C$5,3,FALSE)</f>
        <v>950</v>
      </c>
      <c r="N159">
        <f t="shared" si="4"/>
        <v>6650</v>
      </c>
      <c r="O159">
        <f t="shared" si="5"/>
        <v>2450</v>
      </c>
      <c r="P159" t="str">
        <f>IF(AND(F159="Nağd",G159&gt;5),M159*0.9,"0%")</f>
        <v>0%</v>
      </c>
      <c r="Q159" s="9" t="str">
        <f>IF(F159="Kredit",EOMONTH(B159,0),"")</f>
        <v/>
      </c>
      <c r="R159" s="17" t="str">
        <f>TEXT(B159,"dddd")</f>
        <v>Thursday</v>
      </c>
    </row>
    <row r="160" spans="1:18">
      <c r="A160" s="5" t="s">
        <v>167</v>
      </c>
      <c r="B160" s="8">
        <v>46036</v>
      </c>
      <c r="C160" s="5" t="s">
        <v>977</v>
      </c>
      <c r="D160" s="5" t="s">
        <v>971</v>
      </c>
      <c r="E160" s="5" t="s">
        <v>981</v>
      </c>
      <c r="F160" s="5" t="s">
        <v>7</v>
      </c>
      <c r="G160" s="5">
        <v>8</v>
      </c>
      <c r="H160" s="5" t="s">
        <v>963</v>
      </c>
      <c r="I160" s="13">
        <v>776471432</v>
      </c>
      <c r="J160" s="10" t="s">
        <v>1143</v>
      </c>
      <c r="K160" t="str">
        <f>LEFT(C160,FIND(" ",C160)-1)&amp;"-"&amp;E160&amp;" "&amp;"Filialina çardırılma"</f>
        <v>Elnur-Gəncə Filialina çardırılma</v>
      </c>
      <c r="L160">
        <f>VLOOKUP(D160,Anbar!$A$2:$B$5,2,FALSE)</f>
        <v>1200</v>
      </c>
      <c r="M160">
        <f>VLOOKUP(D160,Anbar!$A$2:$C$5,3,FALSE)</f>
        <v>1800</v>
      </c>
      <c r="N160">
        <f t="shared" si="4"/>
        <v>14400</v>
      </c>
      <c r="O160">
        <f t="shared" si="5"/>
        <v>4800</v>
      </c>
      <c r="P160" t="str">
        <f>IF(AND(F160="Nağd",G160&gt;5),M160*0.9,"0%")</f>
        <v>0%</v>
      </c>
      <c r="Q160" s="9" t="str">
        <f>IF(F160="Kredit",EOMONTH(B160,0),"")</f>
        <v/>
      </c>
      <c r="R160" s="17" t="str">
        <f>TEXT(B160,"dddd")</f>
        <v>Wednesday</v>
      </c>
    </row>
    <row r="161" spans="1:18">
      <c r="A161" s="5" t="s">
        <v>168</v>
      </c>
      <c r="B161" s="8">
        <v>46173</v>
      </c>
      <c r="C161" s="5" t="s">
        <v>967</v>
      </c>
      <c r="D161" s="5" t="s">
        <v>20</v>
      </c>
      <c r="E161" s="5" t="s">
        <v>981</v>
      </c>
      <c r="F161" s="5" t="s">
        <v>4</v>
      </c>
      <c r="G161" s="5">
        <v>1</v>
      </c>
      <c r="H161" s="5" t="s">
        <v>963</v>
      </c>
      <c r="I161" s="13">
        <v>507705046</v>
      </c>
      <c r="J161" s="10" t="s">
        <v>1144</v>
      </c>
      <c r="K161" t="str">
        <f>LEFT(C161,FIND(" ",C161)-1)&amp;"-"&amp;E161&amp;" "&amp;"Filialina çardırılma"</f>
        <v>Aysel-Gəncə Filialina çardırılma</v>
      </c>
      <c r="L161">
        <f>VLOOKUP(D161,Anbar!$A$2:$B$5,2,FALSE)</f>
        <v>15</v>
      </c>
      <c r="M161">
        <f>VLOOKUP(D161,Anbar!$A$2:$C$5,3,FALSE)</f>
        <v>45</v>
      </c>
      <c r="N161">
        <f t="shared" si="4"/>
        <v>45</v>
      </c>
      <c r="O161">
        <f t="shared" si="5"/>
        <v>30</v>
      </c>
      <c r="P161" t="str">
        <f>IF(AND(F161="Nağd",G161&gt;5),M161*0.9,"0%")</f>
        <v>0%</v>
      </c>
      <c r="Q161" s="9">
        <f>IF(F161="Kredit",EOMONTH(B161,0),"")</f>
        <v>46173</v>
      </c>
      <c r="R161" s="17" t="str">
        <f>TEXT(B161,"dddd")</f>
        <v>Sunday</v>
      </c>
    </row>
    <row r="162" spans="1:18">
      <c r="A162" s="5" t="s">
        <v>169</v>
      </c>
      <c r="B162" s="8">
        <v>46153</v>
      </c>
      <c r="C162" s="5" t="s">
        <v>6</v>
      </c>
      <c r="D162" s="5" t="s">
        <v>971</v>
      </c>
      <c r="E162" s="5" t="s">
        <v>981</v>
      </c>
      <c r="F162" s="5" t="s">
        <v>965</v>
      </c>
      <c r="G162" s="5">
        <v>5</v>
      </c>
      <c r="H162" s="5" t="s">
        <v>963</v>
      </c>
      <c r="I162" s="13">
        <v>703228844</v>
      </c>
      <c r="J162" s="10" t="s">
        <v>1145</v>
      </c>
      <c r="K162" t="str">
        <f>LEFT(C162,FIND(" ",C162)-1)&amp;"-"&amp;E162&amp;" "&amp;"Filialina çardırılma"</f>
        <v>Zaur-Gəncə Filialina çardırılma</v>
      </c>
      <c r="L162">
        <f>VLOOKUP(D162,Anbar!$A$2:$B$5,2,FALSE)</f>
        <v>1200</v>
      </c>
      <c r="M162">
        <f>VLOOKUP(D162,Anbar!$A$2:$C$5,3,FALSE)</f>
        <v>1800</v>
      </c>
      <c r="N162">
        <f t="shared" si="4"/>
        <v>9000</v>
      </c>
      <c r="O162">
        <f t="shared" si="5"/>
        <v>3000</v>
      </c>
      <c r="P162" t="str">
        <f>IF(AND(F162="Nağd",G162&gt;5),M162*0.9,"0%")</f>
        <v>0%</v>
      </c>
      <c r="Q162" s="9" t="str">
        <f>IF(F162="Kredit",EOMONTH(B162,0),"")</f>
        <v/>
      </c>
      <c r="R162" s="17" t="str">
        <f>TEXT(B162,"dddd")</f>
        <v>Monday</v>
      </c>
    </row>
    <row r="163" spans="1:18">
      <c r="A163" s="5" t="s">
        <v>170</v>
      </c>
      <c r="B163" s="8">
        <v>46059</v>
      </c>
      <c r="C163" s="5" t="s">
        <v>978</v>
      </c>
      <c r="D163" s="5" t="s">
        <v>968</v>
      </c>
      <c r="E163" s="5" t="s">
        <v>966</v>
      </c>
      <c r="F163" s="5" t="s">
        <v>965</v>
      </c>
      <c r="G163" s="5">
        <v>8</v>
      </c>
      <c r="H163" s="5" t="s">
        <v>963</v>
      </c>
      <c r="I163" s="13">
        <v>553421038</v>
      </c>
      <c r="J163" s="10" t="s">
        <v>1146</v>
      </c>
      <c r="K163" t="str">
        <f>LEFT(C163,FIND(" ",C163)-1)&amp;"-"&amp;E163&amp;" "&amp;"Filialina çardırılma"</f>
        <v>Əli-Bakı Filialina çardırılma</v>
      </c>
      <c r="L163">
        <f>VLOOKUP(D163,Anbar!$A$2:$B$5,2,FALSE)</f>
        <v>400</v>
      </c>
      <c r="M163">
        <f>VLOOKUP(D163,Anbar!$A$2:$C$5,3,FALSE)</f>
        <v>650</v>
      </c>
      <c r="N163">
        <f t="shared" si="4"/>
        <v>5200</v>
      </c>
      <c r="O163">
        <f t="shared" si="5"/>
        <v>2000</v>
      </c>
      <c r="P163">
        <f>IF(AND(F163="Nağd",G163&gt;5),M163*0.9,"0%")</f>
        <v>585</v>
      </c>
      <c r="Q163" s="9" t="str">
        <f>IF(F163="Kredit",EOMONTH(B163,0),"")</f>
        <v/>
      </c>
      <c r="R163" s="17" t="str">
        <f>TEXT(B163,"dddd")</f>
        <v>Friday</v>
      </c>
    </row>
    <row r="164" spans="1:18">
      <c r="A164" s="5" t="s">
        <v>171</v>
      </c>
      <c r="B164" s="8">
        <v>46139</v>
      </c>
      <c r="C164" s="5" t="s">
        <v>975</v>
      </c>
      <c r="D164" s="5" t="s">
        <v>20</v>
      </c>
      <c r="E164" s="5" t="s">
        <v>982</v>
      </c>
      <c r="F164" s="5" t="s">
        <v>7</v>
      </c>
      <c r="G164" s="5">
        <v>5</v>
      </c>
      <c r="H164" s="5" t="s">
        <v>963</v>
      </c>
      <c r="I164" s="13">
        <v>514961807</v>
      </c>
      <c r="J164" s="10" t="s">
        <v>1147</v>
      </c>
      <c r="K164" t="str">
        <f>LEFT(C164,FIND(" ",C164)-1)&amp;"-"&amp;E164&amp;" "&amp;"Filialina çardırılma"</f>
        <v>Murad-Baki Filialina çardırılma</v>
      </c>
      <c r="L164">
        <f>VLOOKUP(D164,Anbar!$A$2:$B$5,2,FALSE)</f>
        <v>15</v>
      </c>
      <c r="M164">
        <f>VLOOKUP(D164,Anbar!$A$2:$C$5,3,FALSE)</f>
        <v>45</v>
      </c>
      <c r="N164">
        <f t="shared" si="4"/>
        <v>225</v>
      </c>
      <c r="O164">
        <f t="shared" si="5"/>
        <v>150</v>
      </c>
      <c r="P164" t="str">
        <f>IF(AND(F164="Nağd",G164&gt;5),M164*0.9,"0%")</f>
        <v>0%</v>
      </c>
      <c r="Q164" s="9" t="str">
        <f>IF(F164="Kredit",EOMONTH(B164,0),"")</f>
        <v/>
      </c>
      <c r="R164" s="17" t="str">
        <f>TEXT(B164,"dddd")</f>
        <v>Monday</v>
      </c>
    </row>
    <row r="165" spans="1:18">
      <c r="A165" s="5" t="s">
        <v>172</v>
      </c>
      <c r="B165" s="8">
        <v>46094</v>
      </c>
      <c r="C165" s="5" t="s">
        <v>975</v>
      </c>
      <c r="D165" s="5" t="s">
        <v>968</v>
      </c>
      <c r="E165" s="5" t="s">
        <v>9</v>
      </c>
      <c r="F165" s="5" t="s">
        <v>4</v>
      </c>
      <c r="G165" s="5">
        <v>5</v>
      </c>
      <c r="H165" s="5" t="s">
        <v>963</v>
      </c>
      <c r="I165" s="13">
        <v>554237206</v>
      </c>
      <c r="J165" s="10" t="s">
        <v>1148</v>
      </c>
      <c r="K165" t="str">
        <f>LEFT(C165,FIND(" ",C165)-1)&amp;"-"&amp;E165&amp;" "&amp;"Filialina çardırılma"</f>
        <v>Murad-Gence Filialina çardırılma</v>
      </c>
      <c r="L165">
        <f>VLOOKUP(D165,Anbar!$A$2:$B$5,2,FALSE)</f>
        <v>400</v>
      </c>
      <c r="M165">
        <f>VLOOKUP(D165,Anbar!$A$2:$C$5,3,FALSE)</f>
        <v>650</v>
      </c>
      <c r="N165">
        <f t="shared" si="4"/>
        <v>3250</v>
      </c>
      <c r="O165">
        <f t="shared" si="5"/>
        <v>1250</v>
      </c>
      <c r="P165" t="str">
        <f>IF(AND(F165="Nağd",G165&gt;5),M165*0.9,"0%")</f>
        <v>0%</v>
      </c>
      <c r="Q165" s="9">
        <f>IF(F165="Kredit",EOMONTH(B165,0),"")</f>
        <v>46112</v>
      </c>
      <c r="R165" s="17" t="str">
        <f>TEXT(B165,"dddd")</f>
        <v>Friday</v>
      </c>
    </row>
    <row r="166" spans="1:18">
      <c r="A166" s="5" t="s">
        <v>173</v>
      </c>
      <c r="B166" s="8">
        <v>46063</v>
      </c>
      <c r="C166" s="5" t="s">
        <v>979</v>
      </c>
      <c r="D166" s="5" t="s">
        <v>20</v>
      </c>
      <c r="E166" s="5" t="s">
        <v>980</v>
      </c>
      <c r="F166" s="5" t="s">
        <v>7</v>
      </c>
      <c r="G166" s="5">
        <v>7</v>
      </c>
      <c r="H166" s="5" t="s">
        <v>963</v>
      </c>
      <c r="I166" s="13">
        <v>513000909</v>
      </c>
      <c r="J166" s="10" t="s">
        <v>1149</v>
      </c>
      <c r="K166" t="str">
        <f>LEFT(C166,FIND(" ",C166)-1)&amp;"-"&amp;E166&amp;" "&amp;"Filialina çardırılma"</f>
        <v>Leyla-Sumqayit Filialina çardırılma</v>
      </c>
      <c r="L166">
        <f>VLOOKUP(D166,Anbar!$A$2:$B$5,2,FALSE)</f>
        <v>15</v>
      </c>
      <c r="M166">
        <f>VLOOKUP(D166,Anbar!$A$2:$C$5,3,FALSE)</f>
        <v>45</v>
      </c>
      <c r="N166">
        <f t="shared" si="4"/>
        <v>315</v>
      </c>
      <c r="O166">
        <f t="shared" si="5"/>
        <v>210</v>
      </c>
      <c r="P166" t="str">
        <f>IF(AND(F166="Nağd",G166&gt;5),M166*0.9,"0%")</f>
        <v>0%</v>
      </c>
      <c r="Q166" s="9" t="str">
        <f>IF(F166="Kredit",EOMONTH(B166,0),"")</f>
        <v/>
      </c>
      <c r="R166" s="17" t="str">
        <f>TEXT(B166,"dddd")</f>
        <v>Tuesday</v>
      </c>
    </row>
    <row r="167" spans="1:18">
      <c r="A167" s="5" t="s">
        <v>174</v>
      </c>
      <c r="B167" s="8">
        <v>46108</v>
      </c>
      <c r="C167" s="5" t="s">
        <v>976</v>
      </c>
      <c r="D167" s="5" t="s">
        <v>20</v>
      </c>
      <c r="E167" s="5" t="s">
        <v>9</v>
      </c>
      <c r="F167" s="5" t="s">
        <v>4</v>
      </c>
      <c r="G167" s="5">
        <v>8</v>
      </c>
      <c r="H167" s="5" t="s">
        <v>963</v>
      </c>
      <c r="I167" s="13">
        <v>774108255</v>
      </c>
      <c r="J167" s="10" t="s">
        <v>1150</v>
      </c>
      <c r="K167" t="str">
        <f>LEFT(C167,FIND(" ",C167)-1)&amp;"-"&amp;E167&amp;" "&amp;"Filialina çardırılma"</f>
        <v>Nərgin-Gence Filialina çardırılma</v>
      </c>
      <c r="L167">
        <f>VLOOKUP(D167,Anbar!$A$2:$B$5,2,FALSE)</f>
        <v>15</v>
      </c>
      <c r="M167">
        <f>VLOOKUP(D167,Anbar!$A$2:$C$5,3,FALSE)</f>
        <v>45</v>
      </c>
      <c r="N167">
        <f t="shared" si="4"/>
        <v>360</v>
      </c>
      <c r="O167">
        <f t="shared" si="5"/>
        <v>240</v>
      </c>
      <c r="P167" t="str">
        <f>IF(AND(F167="Nağd",G167&gt;5),M167*0.9,"0%")</f>
        <v>0%</v>
      </c>
      <c r="Q167" s="9">
        <f>IF(F167="Kredit",EOMONTH(B167,0),"")</f>
        <v>46112</v>
      </c>
      <c r="R167" s="17" t="str">
        <f>TEXT(B167,"dddd")</f>
        <v>Friday</v>
      </c>
    </row>
    <row r="168" spans="1:18">
      <c r="A168" s="5" t="s">
        <v>175</v>
      </c>
      <c r="B168" s="8">
        <v>46045</v>
      </c>
      <c r="C168" s="5" t="s">
        <v>967</v>
      </c>
      <c r="D168" s="5" t="s">
        <v>15</v>
      </c>
      <c r="E168" s="5" t="s">
        <v>964</v>
      </c>
      <c r="F168" s="5" t="s">
        <v>965</v>
      </c>
      <c r="G168" s="5">
        <v>9</v>
      </c>
      <c r="H168" s="5" t="s">
        <v>963</v>
      </c>
      <c r="I168" s="13">
        <v>703619309</v>
      </c>
      <c r="J168" s="10" t="s">
        <v>1151</v>
      </c>
      <c r="K168" t="str">
        <f>LEFT(C168,FIND(" ",C168)-1)&amp;"-"&amp;E168&amp;" "&amp;"Filialina çardırılma"</f>
        <v>Aysel-Sumqayıt Filialina çardırılma</v>
      </c>
      <c r="L168">
        <f>VLOOKUP(D168,Anbar!$A$2:$B$5,2,FALSE)</f>
        <v>600</v>
      </c>
      <c r="M168">
        <f>VLOOKUP(D168,Anbar!$A$2:$C$5,3,FALSE)</f>
        <v>950</v>
      </c>
      <c r="N168">
        <f t="shared" si="4"/>
        <v>8550</v>
      </c>
      <c r="O168">
        <f t="shared" si="5"/>
        <v>3150</v>
      </c>
      <c r="P168">
        <f>IF(AND(F168="Nağd",G168&gt;5),M168*0.9,"0%")</f>
        <v>855</v>
      </c>
      <c r="Q168" s="9" t="str">
        <f>IF(F168="Kredit",EOMONTH(B168,0),"")</f>
        <v/>
      </c>
      <c r="R168" s="17" t="str">
        <f>TEXT(B168,"dddd")</f>
        <v>Friday</v>
      </c>
    </row>
    <row r="169" spans="1:18">
      <c r="A169" s="5" t="s">
        <v>176</v>
      </c>
      <c r="B169" s="8">
        <v>46112</v>
      </c>
      <c r="C169" s="5" t="s">
        <v>975</v>
      </c>
      <c r="D169" s="5" t="s">
        <v>968</v>
      </c>
      <c r="E169" s="5" t="s">
        <v>981</v>
      </c>
      <c r="F169" s="5" t="s">
        <v>4</v>
      </c>
      <c r="G169" s="5">
        <v>8</v>
      </c>
      <c r="H169" s="5" t="s">
        <v>963</v>
      </c>
      <c r="I169" s="13">
        <v>778176609</v>
      </c>
      <c r="J169" s="10" t="s">
        <v>1152</v>
      </c>
      <c r="K169" t="str">
        <f>LEFT(C169,FIND(" ",C169)-1)&amp;"-"&amp;E169&amp;" "&amp;"Filialina çardırılma"</f>
        <v>Murad-Gəncə Filialina çardırılma</v>
      </c>
      <c r="L169">
        <f>VLOOKUP(D169,Anbar!$A$2:$B$5,2,FALSE)</f>
        <v>400</v>
      </c>
      <c r="M169">
        <f>VLOOKUP(D169,Anbar!$A$2:$C$5,3,FALSE)</f>
        <v>650</v>
      </c>
      <c r="N169">
        <f t="shared" si="4"/>
        <v>5200</v>
      </c>
      <c r="O169">
        <f t="shared" si="5"/>
        <v>2000</v>
      </c>
      <c r="P169" t="str">
        <f>IF(AND(F169="Nağd",G169&gt;5),M169*0.9,"0%")</f>
        <v>0%</v>
      </c>
      <c r="Q169" s="9">
        <f>IF(F169="Kredit",EOMONTH(B169,0),"")</f>
        <v>46112</v>
      </c>
      <c r="R169" s="17" t="str">
        <f>TEXT(B169,"dddd")</f>
        <v>Tuesday</v>
      </c>
    </row>
    <row r="170" spans="1:18">
      <c r="A170" s="5" t="s">
        <v>177</v>
      </c>
      <c r="B170" s="8">
        <v>46050</v>
      </c>
      <c r="C170" s="5" t="s">
        <v>977</v>
      </c>
      <c r="D170" s="5" t="s">
        <v>15</v>
      </c>
      <c r="E170" s="5" t="s">
        <v>982</v>
      </c>
      <c r="F170" s="5" t="s">
        <v>7</v>
      </c>
      <c r="G170" s="5">
        <v>9</v>
      </c>
      <c r="H170" s="5" t="s">
        <v>963</v>
      </c>
      <c r="I170" s="13">
        <v>518134699</v>
      </c>
      <c r="J170" s="10" t="s">
        <v>1153</v>
      </c>
      <c r="K170" t="str">
        <f>LEFT(C170,FIND(" ",C170)-1)&amp;"-"&amp;E170&amp;" "&amp;"Filialina çardırılma"</f>
        <v>Elnur-Baki Filialina çardırılma</v>
      </c>
      <c r="L170">
        <f>VLOOKUP(D170,Anbar!$A$2:$B$5,2,FALSE)</f>
        <v>600</v>
      </c>
      <c r="M170">
        <f>VLOOKUP(D170,Anbar!$A$2:$C$5,3,FALSE)</f>
        <v>950</v>
      </c>
      <c r="N170">
        <f t="shared" si="4"/>
        <v>8550</v>
      </c>
      <c r="O170">
        <f t="shared" si="5"/>
        <v>3150</v>
      </c>
      <c r="P170" t="str">
        <f>IF(AND(F170="Nağd",G170&gt;5),M170*0.9,"0%")</f>
        <v>0%</v>
      </c>
      <c r="Q170" s="9" t="str">
        <f>IF(F170="Kredit",EOMONTH(B170,0),"")</f>
        <v/>
      </c>
      <c r="R170" s="17" t="str">
        <f>TEXT(B170,"dddd")</f>
        <v>Wednesday</v>
      </c>
    </row>
    <row r="171" spans="1:18">
      <c r="A171" s="5" t="s">
        <v>178</v>
      </c>
      <c r="B171" s="8">
        <v>46145</v>
      </c>
      <c r="C171" s="5" t="s">
        <v>976</v>
      </c>
      <c r="D171" s="5" t="s">
        <v>968</v>
      </c>
      <c r="E171" s="5" t="s">
        <v>980</v>
      </c>
      <c r="F171" s="5" t="s">
        <v>965</v>
      </c>
      <c r="G171" s="5">
        <v>3</v>
      </c>
      <c r="H171" s="5" t="s">
        <v>963</v>
      </c>
      <c r="I171" s="13">
        <v>556722436</v>
      </c>
      <c r="J171" s="10" t="s">
        <v>1154</v>
      </c>
      <c r="K171" t="str">
        <f>LEFT(C171,FIND(" ",C171)-1)&amp;"-"&amp;E171&amp;" "&amp;"Filialina çardırılma"</f>
        <v>Nərgin-Sumqayit Filialina çardırılma</v>
      </c>
      <c r="L171">
        <f>VLOOKUP(D171,Anbar!$A$2:$B$5,2,FALSE)</f>
        <v>400</v>
      </c>
      <c r="M171">
        <f>VLOOKUP(D171,Anbar!$A$2:$C$5,3,FALSE)</f>
        <v>650</v>
      </c>
      <c r="N171">
        <f t="shared" si="4"/>
        <v>1950</v>
      </c>
      <c r="O171">
        <f t="shared" si="5"/>
        <v>750</v>
      </c>
      <c r="P171" t="str">
        <f>IF(AND(F171="Nağd",G171&gt;5),M171*0.9,"0%")</f>
        <v>0%</v>
      </c>
      <c r="Q171" s="9" t="str">
        <f>IF(F171="Kredit",EOMONTH(B171,0),"")</f>
        <v/>
      </c>
      <c r="R171" s="17" t="str">
        <f>TEXT(B171,"dddd")</f>
        <v>Sunday</v>
      </c>
    </row>
    <row r="172" spans="1:18">
      <c r="A172" s="5" t="s">
        <v>179</v>
      </c>
      <c r="B172" s="8">
        <v>46099</v>
      </c>
      <c r="C172" s="5" t="s">
        <v>974</v>
      </c>
      <c r="D172" s="5" t="s">
        <v>968</v>
      </c>
      <c r="E172" s="5" t="s">
        <v>966</v>
      </c>
      <c r="F172" s="5" t="s">
        <v>7</v>
      </c>
      <c r="G172" s="5">
        <v>4</v>
      </c>
      <c r="H172" s="5" t="s">
        <v>963</v>
      </c>
      <c r="I172" s="13">
        <v>551286333</v>
      </c>
      <c r="J172" s="10" t="s">
        <v>1155</v>
      </c>
      <c r="K172" t="str">
        <f>LEFT(C172,FIND(" ",C172)-1)&amp;"-"&amp;E172&amp;" "&amp;"Filialina çardırılma"</f>
        <v>Ramil-Bakı Filialina çardırılma</v>
      </c>
      <c r="L172">
        <f>VLOOKUP(D172,Anbar!$A$2:$B$5,2,FALSE)</f>
        <v>400</v>
      </c>
      <c r="M172">
        <f>VLOOKUP(D172,Anbar!$A$2:$C$5,3,FALSE)</f>
        <v>650</v>
      </c>
      <c r="N172">
        <f t="shared" si="4"/>
        <v>2600</v>
      </c>
      <c r="O172">
        <f t="shared" si="5"/>
        <v>1000</v>
      </c>
      <c r="P172" t="str">
        <f>IF(AND(F172="Nağd",G172&gt;5),M172*0.9,"0%")</f>
        <v>0%</v>
      </c>
      <c r="Q172" s="9" t="str">
        <f>IF(F172="Kredit",EOMONTH(B172,0),"")</f>
        <v/>
      </c>
      <c r="R172" s="17" t="str">
        <f>TEXT(B172,"dddd")</f>
        <v>Wednesday</v>
      </c>
    </row>
    <row r="173" spans="1:18">
      <c r="A173" s="5" t="s">
        <v>180</v>
      </c>
      <c r="B173" s="8">
        <v>46092</v>
      </c>
      <c r="C173" s="5" t="s">
        <v>977</v>
      </c>
      <c r="D173" s="5" t="s">
        <v>15</v>
      </c>
      <c r="E173" s="5" t="s">
        <v>982</v>
      </c>
      <c r="F173" s="5" t="s">
        <v>965</v>
      </c>
      <c r="G173" s="5">
        <v>9</v>
      </c>
      <c r="H173" s="5" t="s">
        <v>963</v>
      </c>
      <c r="I173" s="13">
        <v>559182933</v>
      </c>
      <c r="J173" s="10" t="s">
        <v>1156</v>
      </c>
      <c r="K173" t="str">
        <f>LEFT(C173,FIND(" ",C173)-1)&amp;"-"&amp;E173&amp;" "&amp;"Filialina çardırılma"</f>
        <v>Elnur-Baki Filialina çardırılma</v>
      </c>
      <c r="L173">
        <f>VLOOKUP(D173,Anbar!$A$2:$B$5,2,FALSE)</f>
        <v>600</v>
      </c>
      <c r="M173">
        <f>VLOOKUP(D173,Anbar!$A$2:$C$5,3,FALSE)</f>
        <v>950</v>
      </c>
      <c r="N173">
        <f t="shared" si="4"/>
        <v>8550</v>
      </c>
      <c r="O173">
        <f t="shared" si="5"/>
        <v>3150</v>
      </c>
      <c r="P173">
        <f>IF(AND(F173="Nağd",G173&gt;5),M173*0.9,"0%")</f>
        <v>855</v>
      </c>
      <c r="Q173" s="9" t="str">
        <f>IF(F173="Kredit",EOMONTH(B173,0),"")</f>
        <v/>
      </c>
      <c r="R173" s="17" t="str">
        <f>TEXT(B173,"dddd")</f>
        <v>Wednesday</v>
      </c>
    </row>
    <row r="174" spans="1:18">
      <c r="A174" s="5" t="s">
        <v>181</v>
      </c>
      <c r="B174" s="8">
        <v>46137</v>
      </c>
      <c r="C174" s="5" t="s">
        <v>967</v>
      </c>
      <c r="D174" s="5" t="s">
        <v>15</v>
      </c>
      <c r="E174" s="5" t="s">
        <v>966</v>
      </c>
      <c r="F174" s="5" t="s">
        <v>4</v>
      </c>
      <c r="G174" s="5">
        <v>9</v>
      </c>
      <c r="H174" s="5" t="s">
        <v>963</v>
      </c>
      <c r="I174" s="13">
        <v>554681024</v>
      </c>
      <c r="J174" s="10" t="s">
        <v>1157</v>
      </c>
      <c r="K174" t="str">
        <f>LEFT(C174,FIND(" ",C174)-1)&amp;"-"&amp;E174&amp;" "&amp;"Filialina çardırılma"</f>
        <v>Aysel-Bakı Filialina çardırılma</v>
      </c>
      <c r="L174">
        <f>VLOOKUP(D174,Anbar!$A$2:$B$5,2,FALSE)</f>
        <v>600</v>
      </c>
      <c r="M174">
        <f>VLOOKUP(D174,Anbar!$A$2:$C$5,3,FALSE)</f>
        <v>950</v>
      </c>
      <c r="N174">
        <f t="shared" si="4"/>
        <v>8550</v>
      </c>
      <c r="O174">
        <f t="shared" si="5"/>
        <v>3150</v>
      </c>
      <c r="P174" t="str">
        <f>IF(AND(F174="Nağd",G174&gt;5),M174*0.9,"0%")</f>
        <v>0%</v>
      </c>
      <c r="Q174" s="9">
        <f>IF(F174="Kredit",EOMONTH(B174,0),"")</f>
        <v>46142</v>
      </c>
      <c r="R174" s="17" t="str">
        <f>TEXT(B174,"dddd")</f>
        <v>Saturday</v>
      </c>
    </row>
    <row r="175" spans="1:18">
      <c r="A175" s="5" t="s">
        <v>182</v>
      </c>
      <c r="B175" s="8">
        <v>46059</v>
      </c>
      <c r="C175" s="5" t="s">
        <v>976</v>
      </c>
      <c r="D175" s="5" t="s">
        <v>968</v>
      </c>
      <c r="E175" s="5" t="s">
        <v>982</v>
      </c>
      <c r="F175" s="5" t="s">
        <v>965</v>
      </c>
      <c r="G175" s="5">
        <v>7</v>
      </c>
      <c r="H175" s="5" t="s">
        <v>963</v>
      </c>
      <c r="I175" s="13">
        <v>516743138</v>
      </c>
      <c r="J175" s="10" t="s">
        <v>1158</v>
      </c>
      <c r="K175" t="str">
        <f>LEFT(C175,FIND(" ",C175)-1)&amp;"-"&amp;E175&amp;" "&amp;"Filialina çardırılma"</f>
        <v>Nərgin-Baki Filialina çardırılma</v>
      </c>
      <c r="L175">
        <f>VLOOKUP(D175,Anbar!$A$2:$B$5,2,FALSE)</f>
        <v>400</v>
      </c>
      <c r="M175">
        <f>VLOOKUP(D175,Anbar!$A$2:$C$5,3,FALSE)</f>
        <v>650</v>
      </c>
      <c r="N175">
        <f t="shared" si="4"/>
        <v>4550</v>
      </c>
      <c r="O175">
        <f t="shared" si="5"/>
        <v>1750</v>
      </c>
      <c r="P175">
        <f>IF(AND(F175="Nağd",G175&gt;5),M175*0.9,"0%")</f>
        <v>585</v>
      </c>
      <c r="Q175" s="9" t="str">
        <f>IF(F175="Kredit",EOMONTH(B175,0),"")</f>
        <v/>
      </c>
      <c r="R175" s="17" t="str">
        <f>TEXT(B175,"dddd")</f>
        <v>Friday</v>
      </c>
    </row>
    <row r="176" spans="1:18">
      <c r="A176" s="5" t="s">
        <v>183</v>
      </c>
      <c r="B176" s="8">
        <v>46171</v>
      </c>
      <c r="C176" s="5" t="s">
        <v>977</v>
      </c>
      <c r="D176" s="5" t="s">
        <v>20</v>
      </c>
      <c r="E176" s="5" t="s">
        <v>983</v>
      </c>
      <c r="F176" s="5" t="s">
        <v>4</v>
      </c>
      <c r="G176" s="5">
        <v>9</v>
      </c>
      <c r="H176" s="5" t="s">
        <v>963</v>
      </c>
      <c r="I176" s="13">
        <v>516977565</v>
      </c>
      <c r="J176" s="10" t="s">
        <v>1159</v>
      </c>
      <c r="K176" t="str">
        <f>LEFT(C176,FIND(" ",C176)-1)&amp;"-"&amp;E176&amp;" "&amp;"Filialina çardırılma"</f>
        <v>Elnur-Naməlum Filialina çardırılma</v>
      </c>
      <c r="L176">
        <f>VLOOKUP(D176,Anbar!$A$2:$B$5,2,FALSE)</f>
        <v>15</v>
      </c>
      <c r="M176">
        <f>VLOOKUP(D176,Anbar!$A$2:$C$5,3,FALSE)</f>
        <v>45</v>
      </c>
      <c r="N176">
        <f t="shared" si="4"/>
        <v>405</v>
      </c>
      <c r="O176">
        <f t="shared" si="5"/>
        <v>270</v>
      </c>
      <c r="P176" t="str">
        <f>IF(AND(F176="Nağd",G176&gt;5),M176*0.9,"0%")</f>
        <v>0%</v>
      </c>
      <c r="Q176" s="9">
        <f>IF(F176="Kredit",EOMONTH(B176,0),"")</f>
        <v>46173</v>
      </c>
      <c r="R176" s="17" t="str">
        <f>TEXT(B176,"dddd")</f>
        <v>Friday</v>
      </c>
    </row>
    <row r="177" spans="1:18">
      <c r="A177" s="5" t="s">
        <v>184</v>
      </c>
      <c r="B177" s="8">
        <v>46116</v>
      </c>
      <c r="C177" s="5" t="s">
        <v>967</v>
      </c>
      <c r="D177" s="5" t="s">
        <v>15</v>
      </c>
      <c r="E177" s="5" t="s">
        <v>966</v>
      </c>
      <c r="F177" s="5" t="s">
        <v>965</v>
      </c>
      <c r="G177" s="5">
        <v>9</v>
      </c>
      <c r="H177" s="5" t="s">
        <v>963</v>
      </c>
      <c r="I177" s="13">
        <v>518198654</v>
      </c>
      <c r="J177" s="10" t="s">
        <v>1160</v>
      </c>
      <c r="K177" t="str">
        <f>LEFT(C177,FIND(" ",C177)-1)&amp;"-"&amp;E177&amp;" "&amp;"Filialina çardırılma"</f>
        <v>Aysel-Bakı Filialina çardırılma</v>
      </c>
      <c r="L177">
        <f>VLOOKUP(D177,Anbar!$A$2:$B$5,2,FALSE)</f>
        <v>600</v>
      </c>
      <c r="M177">
        <f>VLOOKUP(D177,Anbar!$A$2:$C$5,3,FALSE)</f>
        <v>950</v>
      </c>
      <c r="N177">
        <f t="shared" si="4"/>
        <v>8550</v>
      </c>
      <c r="O177">
        <f t="shared" si="5"/>
        <v>3150</v>
      </c>
      <c r="P177">
        <f>IF(AND(F177="Nağd",G177&gt;5),M177*0.9,"0%")</f>
        <v>855</v>
      </c>
      <c r="Q177" s="9" t="str">
        <f>IF(F177="Kredit",EOMONTH(B177,0),"")</f>
        <v/>
      </c>
      <c r="R177" s="17" t="str">
        <f>TEXT(B177,"dddd")</f>
        <v>Saturday</v>
      </c>
    </row>
    <row r="178" spans="1:18">
      <c r="A178" s="5" t="s">
        <v>185</v>
      </c>
      <c r="B178" s="8">
        <v>46062</v>
      </c>
      <c r="C178" s="5" t="s">
        <v>978</v>
      </c>
      <c r="D178" s="5" t="s">
        <v>968</v>
      </c>
      <c r="E178" s="5" t="s">
        <v>966</v>
      </c>
      <c r="F178" s="5" t="s">
        <v>965</v>
      </c>
      <c r="G178" s="5">
        <v>1</v>
      </c>
      <c r="H178" s="5" t="s">
        <v>963</v>
      </c>
      <c r="I178" s="13">
        <v>709067253</v>
      </c>
      <c r="J178" s="10" t="s">
        <v>1161</v>
      </c>
      <c r="K178" t="str">
        <f>LEFT(C178,FIND(" ",C178)-1)&amp;"-"&amp;E178&amp;" "&amp;"Filialina çardırılma"</f>
        <v>Əli-Bakı Filialina çardırılma</v>
      </c>
      <c r="L178">
        <f>VLOOKUP(D178,Anbar!$A$2:$B$5,2,FALSE)</f>
        <v>400</v>
      </c>
      <c r="M178">
        <f>VLOOKUP(D178,Anbar!$A$2:$C$5,3,FALSE)</f>
        <v>650</v>
      </c>
      <c r="N178">
        <f t="shared" si="4"/>
        <v>650</v>
      </c>
      <c r="O178">
        <f t="shared" si="5"/>
        <v>250</v>
      </c>
      <c r="P178" t="str">
        <f>IF(AND(F178="Nağd",G178&gt;5),M178*0.9,"0%")</f>
        <v>0%</v>
      </c>
      <c r="Q178" s="9" t="str">
        <f>IF(F178="Kredit",EOMONTH(B178,0),"")</f>
        <v/>
      </c>
      <c r="R178" s="17" t="str">
        <f>TEXT(B178,"dddd")</f>
        <v>Monday</v>
      </c>
    </row>
    <row r="179" spans="1:18">
      <c r="A179" s="5" t="s">
        <v>186</v>
      </c>
      <c r="B179" s="8">
        <v>46148</v>
      </c>
      <c r="C179" s="5" t="s">
        <v>976</v>
      </c>
      <c r="D179" s="5" t="s">
        <v>20</v>
      </c>
      <c r="E179" s="5" t="s">
        <v>966</v>
      </c>
      <c r="F179" s="5" t="s">
        <v>965</v>
      </c>
      <c r="G179" s="5">
        <v>3</v>
      </c>
      <c r="H179" s="5" t="s">
        <v>963</v>
      </c>
      <c r="I179" s="13">
        <v>519153458</v>
      </c>
      <c r="J179" s="10" t="s">
        <v>1162</v>
      </c>
      <c r="K179" t="str">
        <f>LEFT(C179,FIND(" ",C179)-1)&amp;"-"&amp;E179&amp;" "&amp;"Filialina çardırılma"</f>
        <v>Nərgin-Bakı Filialina çardırılma</v>
      </c>
      <c r="L179">
        <f>VLOOKUP(D179,Anbar!$A$2:$B$5,2,FALSE)</f>
        <v>15</v>
      </c>
      <c r="M179">
        <f>VLOOKUP(D179,Anbar!$A$2:$C$5,3,FALSE)</f>
        <v>45</v>
      </c>
      <c r="N179">
        <f t="shared" si="4"/>
        <v>135</v>
      </c>
      <c r="O179">
        <f t="shared" si="5"/>
        <v>90</v>
      </c>
      <c r="P179" t="str">
        <f>IF(AND(F179="Nağd",G179&gt;5),M179*0.9,"0%")</f>
        <v>0%</v>
      </c>
      <c r="Q179" s="9" t="str">
        <f>IF(F179="Kredit",EOMONTH(B179,0),"")</f>
        <v/>
      </c>
      <c r="R179" s="17" t="str">
        <f>TEXT(B179,"dddd")</f>
        <v>Wednesday</v>
      </c>
    </row>
    <row r="180" spans="1:18">
      <c r="A180" s="5" t="s">
        <v>187</v>
      </c>
      <c r="B180" s="8">
        <v>46038</v>
      </c>
      <c r="C180" s="5" t="s">
        <v>978</v>
      </c>
      <c r="D180" s="5" t="s">
        <v>20</v>
      </c>
      <c r="E180" s="5" t="s">
        <v>964</v>
      </c>
      <c r="F180" s="5" t="s">
        <v>4</v>
      </c>
      <c r="G180" s="5">
        <v>4</v>
      </c>
      <c r="H180" s="5" t="s">
        <v>963</v>
      </c>
      <c r="I180" s="13">
        <v>509961073</v>
      </c>
      <c r="J180" s="10" t="s">
        <v>1163</v>
      </c>
      <c r="K180" t="str">
        <f>LEFT(C180,FIND(" ",C180)-1)&amp;"-"&amp;E180&amp;" "&amp;"Filialina çardırılma"</f>
        <v>Əli-Sumqayıt Filialina çardırılma</v>
      </c>
      <c r="L180">
        <f>VLOOKUP(D180,Anbar!$A$2:$B$5,2,FALSE)</f>
        <v>15</v>
      </c>
      <c r="M180">
        <f>VLOOKUP(D180,Anbar!$A$2:$C$5,3,FALSE)</f>
        <v>45</v>
      </c>
      <c r="N180">
        <f t="shared" si="4"/>
        <v>180</v>
      </c>
      <c r="O180">
        <f t="shared" si="5"/>
        <v>120</v>
      </c>
      <c r="P180" t="str">
        <f>IF(AND(F180="Nağd",G180&gt;5),M180*0.9,"0%")</f>
        <v>0%</v>
      </c>
      <c r="Q180" s="9">
        <f>IF(F180="Kredit",EOMONTH(B180,0),"")</f>
        <v>46053</v>
      </c>
      <c r="R180" s="17" t="str">
        <f>TEXT(B180,"dddd")</f>
        <v>Friday</v>
      </c>
    </row>
    <row r="181" spans="1:18">
      <c r="A181" s="5" t="s">
        <v>188</v>
      </c>
      <c r="B181" s="8">
        <v>46118</v>
      </c>
      <c r="C181" s="5" t="s">
        <v>967</v>
      </c>
      <c r="D181" s="5" t="s">
        <v>15</v>
      </c>
      <c r="E181" s="5" t="s">
        <v>981</v>
      </c>
      <c r="F181" s="5" t="s">
        <v>983</v>
      </c>
      <c r="G181" s="5">
        <v>10</v>
      </c>
      <c r="H181" s="5" t="s">
        <v>963</v>
      </c>
      <c r="I181" s="13">
        <v>704188845</v>
      </c>
      <c r="J181" s="10" t="s">
        <v>1164</v>
      </c>
      <c r="K181" t="str">
        <f>LEFT(C181,FIND(" ",C181)-1)&amp;"-"&amp;E181&amp;" "&amp;"Filialina çardırılma"</f>
        <v>Aysel-Gəncə Filialina çardırılma</v>
      </c>
      <c r="L181">
        <f>VLOOKUP(D181,Anbar!$A$2:$B$5,2,FALSE)</f>
        <v>600</v>
      </c>
      <c r="M181">
        <f>VLOOKUP(D181,Anbar!$A$2:$C$5,3,FALSE)</f>
        <v>950</v>
      </c>
      <c r="N181">
        <f t="shared" si="4"/>
        <v>9500</v>
      </c>
      <c r="O181">
        <f t="shared" si="5"/>
        <v>3500</v>
      </c>
      <c r="P181" t="str">
        <f>IF(AND(F181="Nağd",G181&gt;5),M181*0.9,"0%")</f>
        <v>0%</v>
      </c>
      <c r="Q181" s="9" t="str">
        <f>IF(F181="Kredit",EOMONTH(B181,0),"")</f>
        <v/>
      </c>
      <c r="R181" s="17" t="str">
        <f>TEXT(B181,"dddd")</f>
        <v>Monday</v>
      </c>
    </row>
    <row r="182" spans="1:18">
      <c r="A182" s="5" t="s">
        <v>189</v>
      </c>
      <c r="B182" s="8">
        <v>46109</v>
      </c>
      <c r="C182" s="5" t="s">
        <v>976</v>
      </c>
      <c r="D182" s="5" t="s">
        <v>971</v>
      </c>
      <c r="E182" s="5" t="s">
        <v>982</v>
      </c>
      <c r="F182" s="5" t="s">
        <v>965</v>
      </c>
      <c r="G182" s="5">
        <v>6</v>
      </c>
      <c r="H182" s="5" t="s">
        <v>963</v>
      </c>
      <c r="I182" s="13">
        <v>515835450</v>
      </c>
      <c r="J182" s="10" t="s">
        <v>1165</v>
      </c>
      <c r="K182" t="str">
        <f>LEFT(C182,FIND(" ",C182)-1)&amp;"-"&amp;E182&amp;" "&amp;"Filialina çardırılma"</f>
        <v>Nərgin-Baki Filialina çardırılma</v>
      </c>
      <c r="L182">
        <f>VLOOKUP(D182,Anbar!$A$2:$B$5,2,FALSE)</f>
        <v>1200</v>
      </c>
      <c r="M182">
        <f>VLOOKUP(D182,Anbar!$A$2:$C$5,3,FALSE)</f>
        <v>1800</v>
      </c>
      <c r="N182">
        <f t="shared" si="4"/>
        <v>10800</v>
      </c>
      <c r="O182">
        <f t="shared" si="5"/>
        <v>3600</v>
      </c>
      <c r="P182">
        <f>IF(AND(F182="Nağd",G182&gt;5),M182*0.9,"0%")</f>
        <v>1620</v>
      </c>
      <c r="Q182" s="9" t="str">
        <f>IF(F182="Kredit",EOMONTH(B182,0),"")</f>
        <v/>
      </c>
      <c r="R182" s="17" t="str">
        <f>TEXT(B182,"dddd")</f>
        <v>Saturday</v>
      </c>
    </row>
    <row r="183" spans="1:18">
      <c r="A183" s="5" t="s">
        <v>190</v>
      </c>
      <c r="B183" s="8">
        <v>46148</v>
      </c>
      <c r="C183" s="5" t="s">
        <v>979</v>
      </c>
      <c r="D183" s="5" t="s">
        <v>15</v>
      </c>
      <c r="E183" s="5" t="s">
        <v>981</v>
      </c>
      <c r="F183" s="5" t="s">
        <v>4</v>
      </c>
      <c r="G183" s="5">
        <v>4</v>
      </c>
      <c r="H183" s="5" t="s">
        <v>963</v>
      </c>
      <c r="I183" s="13">
        <v>506392783</v>
      </c>
      <c r="J183" s="10" t="s">
        <v>1166</v>
      </c>
      <c r="K183" t="str">
        <f>LEFT(C183,FIND(" ",C183)-1)&amp;"-"&amp;E183&amp;" "&amp;"Filialina çardırılma"</f>
        <v>Leyla-Gəncə Filialina çardırılma</v>
      </c>
      <c r="L183">
        <f>VLOOKUP(D183,Anbar!$A$2:$B$5,2,FALSE)</f>
        <v>600</v>
      </c>
      <c r="M183">
        <f>VLOOKUP(D183,Anbar!$A$2:$C$5,3,FALSE)</f>
        <v>950</v>
      </c>
      <c r="N183">
        <f t="shared" si="4"/>
        <v>3800</v>
      </c>
      <c r="O183">
        <f t="shared" si="5"/>
        <v>1400</v>
      </c>
      <c r="P183" t="str">
        <f>IF(AND(F183="Nağd",G183&gt;5),M183*0.9,"0%")</f>
        <v>0%</v>
      </c>
      <c r="Q183" s="9">
        <f>IF(F183="Kredit",EOMONTH(B183,0),"")</f>
        <v>46173</v>
      </c>
      <c r="R183" s="17" t="str">
        <f>TEXT(B183,"dddd")</f>
        <v>Wednesday</v>
      </c>
    </row>
    <row r="184" spans="1:18">
      <c r="A184" s="5" t="s">
        <v>191</v>
      </c>
      <c r="B184" s="8">
        <v>46056</v>
      </c>
      <c r="C184" s="5" t="s">
        <v>967</v>
      </c>
      <c r="D184" s="5" t="s">
        <v>20</v>
      </c>
      <c r="E184" s="5" t="s">
        <v>981</v>
      </c>
      <c r="F184" s="5" t="s">
        <v>965</v>
      </c>
      <c r="G184" s="5">
        <v>6</v>
      </c>
      <c r="H184" s="5" t="s">
        <v>963</v>
      </c>
      <c r="I184" s="13">
        <v>519980249</v>
      </c>
      <c r="J184" s="10" t="s">
        <v>1167</v>
      </c>
      <c r="K184" t="str">
        <f>LEFT(C184,FIND(" ",C184)-1)&amp;"-"&amp;E184&amp;" "&amp;"Filialina çardırılma"</f>
        <v>Aysel-Gəncə Filialina çardırılma</v>
      </c>
      <c r="L184">
        <f>VLOOKUP(D184,Anbar!$A$2:$B$5,2,FALSE)</f>
        <v>15</v>
      </c>
      <c r="M184">
        <f>VLOOKUP(D184,Anbar!$A$2:$C$5,3,FALSE)</f>
        <v>45</v>
      </c>
      <c r="N184">
        <f t="shared" si="4"/>
        <v>270</v>
      </c>
      <c r="O184">
        <f t="shared" si="5"/>
        <v>180</v>
      </c>
      <c r="P184">
        <f>IF(AND(F184="Nağd",G184&gt;5),M184*0.9,"0%")</f>
        <v>40.5</v>
      </c>
      <c r="Q184" s="9" t="str">
        <f>IF(F184="Kredit",EOMONTH(B184,0),"")</f>
        <v/>
      </c>
      <c r="R184" s="17" t="str">
        <f>TEXT(B184,"dddd")</f>
        <v>Tuesday</v>
      </c>
    </row>
    <row r="185" spans="1:18">
      <c r="A185" s="5" t="s">
        <v>192</v>
      </c>
      <c r="B185" s="8">
        <v>46104</v>
      </c>
      <c r="C185" s="5" t="s">
        <v>977</v>
      </c>
      <c r="D185" s="5" t="s">
        <v>971</v>
      </c>
      <c r="E185" s="5" t="s">
        <v>980</v>
      </c>
      <c r="F185" s="5" t="s">
        <v>965</v>
      </c>
      <c r="G185" s="5">
        <v>7</v>
      </c>
      <c r="H185" s="5" t="s">
        <v>963</v>
      </c>
      <c r="I185" s="13">
        <v>708402339</v>
      </c>
      <c r="J185" s="10" t="s">
        <v>1168</v>
      </c>
      <c r="K185" t="str">
        <f>LEFT(C185,FIND(" ",C185)-1)&amp;"-"&amp;E185&amp;" "&amp;"Filialina çardırılma"</f>
        <v>Elnur-Sumqayit Filialina çardırılma</v>
      </c>
      <c r="L185">
        <f>VLOOKUP(D185,Anbar!$A$2:$B$5,2,FALSE)</f>
        <v>1200</v>
      </c>
      <c r="M185">
        <f>VLOOKUP(D185,Anbar!$A$2:$C$5,3,FALSE)</f>
        <v>1800</v>
      </c>
      <c r="N185">
        <f t="shared" si="4"/>
        <v>12600</v>
      </c>
      <c r="O185">
        <f t="shared" si="5"/>
        <v>4200</v>
      </c>
      <c r="P185">
        <f>IF(AND(F185="Nağd",G185&gt;5),M185*0.9,"0%")</f>
        <v>1620</v>
      </c>
      <c r="Q185" s="9" t="str">
        <f>IF(F185="Kredit",EOMONTH(B185,0),"")</f>
        <v/>
      </c>
      <c r="R185" s="17" t="str">
        <f>TEXT(B185,"dddd")</f>
        <v>Monday</v>
      </c>
    </row>
    <row r="186" spans="1:18">
      <c r="A186" s="5" t="s">
        <v>193</v>
      </c>
      <c r="B186" s="8">
        <v>46124</v>
      </c>
      <c r="C186" s="5" t="s">
        <v>975</v>
      </c>
      <c r="D186" s="5" t="s">
        <v>20</v>
      </c>
      <c r="E186" s="5" t="s">
        <v>981</v>
      </c>
      <c r="F186" s="5" t="s">
        <v>965</v>
      </c>
      <c r="G186" s="5">
        <v>9</v>
      </c>
      <c r="H186" s="5" t="s">
        <v>963</v>
      </c>
      <c r="I186" s="13">
        <v>509294747</v>
      </c>
      <c r="J186" s="10" t="s">
        <v>1169</v>
      </c>
      <c r="K186" t="str">
        <f>LEFT(C186,FIND(" ",C186)-1)&amp;"-"&amp;E186&amp;" "&amp;"Filialina çardırılma"</f>
        <v>Murad-Gəncə Filialina çardırılma</v>
      </c>
      <c r="L186">
        <f>VLOOKUP(D186,Anbar!$A$2:$B$5,2,FALSE)</f>
        <v>15</v>
      </c>
      <c r="M186">
        <f>VLOOKUP(D186,Anbar!$A$2:$C$5,3,FALSE)</f>
        <v>45</v>
      </c>
      <c r="N186">
        <f t="shared" si="4"/>
        <v>405</v>
      </c>
      <c r="O186">
        <f t="shared" si="5"/>
        <v>270</v>
      </c>
      <c r="P186">
        <f>IF(AND(F186="Nağd",G186&gt;5),M186*0.9,"0%")</f>
        <v>40.5</v>
      </c>
      <c r="Q186" s="9" t="str">
        <f>IF(F186="Kredit",EOMONTH(B186,0),"")</f>
        <v/>
      </c>
      <c r="R186" s="17" t="str">
        <f>TEXT(B186,"dddd")</f>
        <v>Sunday</v>
      </c>
    </row>
    <row r="187" spans="1:18">
      <c r="A187" s="5" t="s">
        <v>194</v>
      </c>
      <c r="B187" s="8">
        <v>46053</v>
      </c>
      <c r="C187" s="5" t="s">
        <v>6</v>
      </c>
      <c r="D187" s="5" t="s">
        <v>971</v>
      </c>
      <c r="E187" s="5" t="s">
        <v>966</v>
      </c>
      <c r="F187" s="5" t="s">
        <v>965</v>
      </c>
      <c r="G187" s="5">
        <v>3</v>
      </c>
      <c r="H187" s="5" t="s">
        <v>963</v>
      </c>
      <c r="I187" s="13">
        <v>776821742</v>
      </c>
      <c r="J187" s="10" t="s">
        <v>1170</v>
      </c>
      <c r="K187" t="str">
        <f>LEFT(C187,FIND(" ",C187)-1)&amp;"-"&amp;E187&amp;" "&amp;"Filialina çardırılma"</f>
        <v>Zaur-Bakı Filialina çardırılma</v>
      </c>
      <c r="L187">
        <f>VLOOKUP(D187,Anbar!$A$2:$B$5,2,FALSE)</f>
        <v>1200</v>
      </c>
      <c r="M187">
        <f>VLOOKUP(D187,Anbar!$A$2:$C$5,3,FALSE)</f>
        <v>1800</v>
      </c>
      <c r="N187">
        <f t="shared" si="4"/>
        <v>5400</v>
      </c>
      <c r="O187">
        <f t="shared" si="5"/>
        <v>1800</v>
      </c>
      <c r="P187" t="str">
        <f>IF(AND(F187="Nağd",G187&gt;5),M187*0.9,"0%")</f>
        <v>0%</v>
      </c>
      <c r="Q187" s="9" t="str">
        <f>IF(F187="Kredit",EOMONTH(B187,0),"")</f>
        <v/>
      </c>
      <c r="R187" s="17" t="str">
        <f>TEXT(B187,"dddd")</f>
        <v>Saturday</v>
      </c>
    </row>
    <row r="188" spans="1:18">
      <c r="A188" s="5" t="s">
        <v>195</v>
      </c>
      <c r="B188" s="8">
        <v>46033</v>
      </c>
      <c r="C188" s="5" t="s">
        <v>6</v>
      </c>
      <c r="D188" s="5" t="s">
        <v>971</v>
      </c>
      <c r="E188" s="5" t="s">
        <v>981</v>
      </c>
      <c r="F188" s="5" t="s">
        <v>965</v>
      </c>
      <c r="G188" s="5">
        <v>1</v>
      </c>
      <c r="H188" s="5" t="s">
        <v>963</v>
      </c>
      <c r="I188" s="13">
        <v>519682970</v>
      </c>
      <c r="J188" s="10" t="s">
        <v>1171</v>
      </c>
      <c r="K188" t="str">
        <f>LEFT(C188,FIND(" ",C188)-1)&amp;"-"&amp;E188&amp;" "&amp;"Filialina çardırılma"</f>
        <v>Zaur-Gəncə Filialina çardırılma</v>
      </c>
      <c r="L188">
        <f>VLOOKUP(D188,Anbar!$A$2:$B$5,2,FALSE)</f>
        <v>1200</v>
      </c>
      <c r="M188">
        <f>VLOOKUP(D188,Anbar!$A$2:$C$5,3,FALSE)</f>
        <v>1800</v>
      </c>
      <c r="N188">
        <f t="shared" si="4"/>
        <v>1800</v>
      </c>
      <c r="O188">
        <f t="shared" si="5"/>
        <v>600</v>
      </c>
      <c r="P188" t="str">
        <f>IF(AND(F188="Nağd",G188&gt;5),M188*0.9,"0%")</f>
        <v>0%</v>
      </c>
      <c r="Q188" s="9" t="str">
        <f>IF(F188="Kredit",EOMONTH(B188,0),"")</f>
        <v/>
      </c>
      <c r="R188" s="17" t="str">
        <f>TEXT(B188,"dddd")</f>
        <v>Sunday</v>
      </c>
    </row>
    <row r="189" spans="1:18">
      <c r="A189" s="5" t="s">
        <v>196</v>
      </c>
      <c r="B189" s="8">
        <v>46076</v>
      </c>
      <c r="C189" s="5" t="s">
        <v>975</v>
      </c>
      <c r="D189" s="5" t="s">
        <v>15</v>
      </c>
      <c r="E189" s="5" t="s">
        <v>980</v>
      </c>
      <c r="F189" s="5" t="s">
        <v>7</v>
      </c>
      <c r="G189" s="5">
        <v>7</v>
      </c>
      <c r="H189" s="5" t="s">
        <v>963</v>
      </c>
      <c r="I189" s="13">
        <v>557339797</v>
      </c>
      <c r="J189" s="10" t="s">
        <v>1172</v>
      </c>
      <c r="K189" t="str">
        <f>LEFT(C189,FIND(" ",C189)-1)&amp;"-"&amp;E189&amp;" "&amp;"Filialina çardırılma"</f>
        <v>Murad-Sumqayit Filialina çardırılma</v>
      </c>
      <c r="L189">
        <f>VLOOKUP(D189,Anbar!$A$2:$B$5,2,FALSE)</f>
        <v>600</v>
      </c>
      <c r="M189">
        <f>VLOOKUP(D189,Anbar!$A$2:$C$5,3,FALSE)</f>
        <v>950</v>
      </c>
      <c r="N189">
        <f t="shared" si="4"/>
        <v>6650</v>
      </c>
      <c r="O189">
        <f t="shared" si="5"/>
        <v>2450</v>
      </c>
      <c r="P189" t="str">
        <f>IF(AND(F189="Nağd",G189&gt;5),M189*0.9,"0%")</f>
        <v>0%</v>
      </c>
      <c r="Q189" s="9" t="str">
        <f>IF(F189="Kredit",EOMONTH(B189,0),"")</f>
        <v/>
      </c>
      <c r="R189" s="17" t="str">
        <f>TEXT(B189,"dddd")</f>
        <v>Monday</v>
      </c>
    </row>
    <row r="190" spans="1:18">
      <c r="A190" s="5" t="s">
        <v>197</v>
      </c>
      <c r="B190" s="8">
        <v>46047</v>
      </c>
      <c r="C190" s="5" t="s">
        <v>6</v>
      </c>
      <c r="D190" s="5" t="s">
        <v>15</v>
      </c>
      <c r="E190" s="5" t="s">
        <v>982</v>
      </c>
      <c r="F190" s="5" t="s">
        <v>7</v>
      </c>
      <c r="G190" s="5">
        <v>2</v>
      </c>
      <c r="H190" s="5" t="s">
        <v>963</v>
      </c>
      <c r="I190" s="13">
        <v>507890623</v>
      </c>
      <c r="J190" s="10" t="s">
        <v>1173</v>
      </c>
      <c r="K190" t="str">
        <f>LEFT(C190,FIND(" ",C190)-1)&amp;"-"&amp;E190&amp;" "&amp;"Filialina çardırılma"</f>
        <v>Zaur-Baki Filialina çardırılma</v>
      </c>
      <c r="L190">
        <f>VLOOKUP(D190,Anbar!$A$2:$B$5,2,FALSE)</f>
        <v>600</v>
      </c>
      <c r="M190">
        <f>VLOOKUP(D190,Anbar!$A$2:$C$5,3,FALSE)</f>
        <v>950</v>
      </c>
      <c r="N190">
        <f t="shared" si="4"/>
        <v>1900</v>
      </c>
      <c r="O190">
        <f t="shared" si="5"/>
        <v>700</v>
      </c>
      <c r="P190" t="str">
        <f>IF(AND(F190="Nağd",G190&gt;5),M190*0.9,"0%")</f>
        <v>0%</v>
      </c>
      <c r="Q190" s="9" t="str">
        <f>IF(F190="Kredit",EOMONTH(B190,0),"")</f>
        <v/>
      </c>
      <c r="R190" s="17" t="str">
        <f>TEXT(B190,"dddd")</f>
        <v>Sunday</v>
      </c>
    </row>
    <row r="191" spans="1:18">
      <c r="A191" s="5" t="s">
        <v>198</v>
      </c>
      <c r="B191" s="8">
        <v>46044</v>
      </c>
      <c r="C191" s="5" t="s">
        <v>974</v>
      </c>
      <c r="D191" s="5" t="s">
        <v>15</v>
      </c>
      <c r="E191" s="5" t="s">
        <v>966</v>
      </c>
      <c r="F191" s="5" t="s">
        <v>965</v>
      </c>
      <c r="G191" s="5">
        <v>3</v>
      </c>
      <c r="H191" s="5" t="s">
        <v>963</v>
      </c>
      <c r="I191" s="13">
        <v>503923953</v>
      </c>
      <c r="J191" s="10" t="s">
        <v>1174</v>
      </c>
      <c r="K191" t="str">
        <f>LEFT(C191,FIND(" ",C191)-1)&amp;"-"&amp;E191&amp;" "&amp;"Filialina çardırılma"</f>
        <v>Ramil-Bakı Filialina çardırılma</v>
      </c>
      <c r="L191">
        <f>VLOOKUP(D191,Anbar!$A$2:$B$5,2,FALSE)</f>
        <v>600</v>
      </c>
      <c r="M191">
        <f>VLOOKUP(D191,Anbar!$A$2:$C$5,3,FALSE)</f>
        <v>950</v>
      </c>
      <c r="N191">
        <f t="shared" si="4"/>
        <v>2850</v>
      </c>
      <c r="O191">
        <f t="shared" si="5"/>
        <v>1050</v>
      </c>
      <c r="P191" t="str">
        <f>IF(AND(F191="Nağd",G191&gt;5),M191*0.9,"0%")</f>
        <v>0%</v>
      </c>
      <c r="Q191" s="9" t="str">
        <f>IF(F191="Kredit",EOMONTH(B191,0),"")</f>
        <v/>
      </c>
      <c r="R191" s="17" t="str">
        <f>TEXT(B191,"dddd")</f>
        <v>Thursday</v>
      </c>
    </row>
    <row r="192" spans="1:18">
      <c r="A192" s="5" t="s">
        <v>199</v>
      </c>
      <c r="B192" s="8">
        <v>46058</v>
      </c>
      <c r="C192" s="5" t="s">
        <v>976</v>
      </c>
      <c r="D192" s="5" t="s">
        <v>20</v>
      </c>
      <c r="E192" s="5" t="s">
        <v>980</v>
      </c>
      <c r="F192" s="5" t="s">
        <v>965</v>
      </c>
      <c r="G192" s="5">
        <v>3</v>
      </c>
      <c r="H192" s="5" t="s">
        <v>963</v>
      </c>
      <c r="I192" s="13">
        <v>550337939</v>
      </c>
      <c r="J192" s="10" t="s">
        <v>1175</v>
      </c>
      <c r="K192" t="str">
        <f>LEFT(C192,FIND(" ",C192)-1)&amp;"-"&amp;E192&amp;" "&amp;"Filialina çardırılma"</f>
        <v>Nərgin-Sumqayit Filialina çardırılma</v>
      </c>
      <c r="L192">
        <f>VLOOKUP(D192,Anbar!$A$2:$B$5,2,FALSE)</f>
        <v>15</v>
      </c>
      <c r="M192">
        <f>VLOOKUP(D192,Anbar!$A$2:$C$5,3,FALSE)</f>
        <v>45</v>
      </c>
      <c r="N192">
        <f t="shared" si="4"/>
        <v>135</v>
      </c>
      <c r="O192">
        <f t="shared" si="5"/>
        <v>90</v>
      </c>
      <c r="P192" t="str">
        <f>IF(AND(F192="Nağd",G192&gt;5),M192*0.9,"0%")</f>
        <v>0%</v>
      </c>
      <c r="Q192" s="9" t="str">
        <f>IF(F192="Kredit",EOMONTH(B192,0),"")</f>
        <v/>
      </c>
      <c r="R192" s="17" t="str">
        <f>TEXT(B192,"dddd")</f>
        <v>Thursday</v>
      </c>
    </row>
    <row r="193" spans="1:18">
      <c r="A193" s="5" t="s">
        <v>200</v>
      </c>
      <c r="B193" s="8">
        <v>46110</v>
      </c>
      <c r="C193" s="5" t="s">
        <v>977</v>
      </c>
      <c r="D193" s="5" t="s">
        <v>20</v>
      </c>
      <c r="E193" s="5" t="s">
        <v>966</v>
      </c>
      <c r="F193" s="5" t="s">
        <v>965</v>
      </c>
      <c r="G193" s="5">
        <v>10</v>
      </c>
      <c r="H193" s="5" t="s">
        <v>963</v>
      </c>
      <c r="I193" s="13">
        <v>550344218</v>
      </c>
      <c r="J193" s="10" t="s">
        <v>1176</v>
      </c>
      <c r="K193" t="str">
        <f>LEFT(C193,FIND(" ",C193)-1)&amp;"-"&amp;E193&amp;" "&amp;"Filialina çardırılma"</f>
        <v>Elnur-Bakı Filialina çardırılma</v>
      </c>
      <c r="L193">
        <f>VLOOKUP(D193,Anbar!$A$2:$B$5,2,FALSE)</f>
        <v>15</v>
      </c>
      <c r="M193">
        <f>VLOOKUP(D193,Anbar!$A$2:$C$5,3,FALSE)</f>
        <v>45</v>
      </c>
      <c r="N193">
        <f t="shared" si="4"/>
        <v>450</v>
      </c>
      <c r="O193">
        <f t="shared" si="5"/>
        <v>300</v>
      </c>
      <c r="P193">
        <f>IF(AND(F193="Nağd",G193&gt;5),M193*0.9,"0%")</f>
        <v>40.5</v>
      </c>
      <c r="Q193" s="9" t="str">
        <f>IF(F193="Kredit",EOMONTH(B193,0),"")</f>
        <v/>
      </c>
      <c r="R193" s="17" t="str">
        <f>TEXT(B193,"dddd")</f>
        <v>Sunday</v>
      </c>
    </row>
    <row r="194" spans="1:18">
      <c r="A194" s="5" t="s">
        <v>201</v>
      </c>
      <c r="B194" s="8">
        <v>46133</v>
      </c>
      <c r="C194" s="5" t="s">
        <v>979</v>
      </c>
      <c r="D194" s="5" t="s">
        <v>971</v>
      </c>
      <c r="E194" s="5" t="s">
        <v>982</v>
      </c>
      <c r="F194" s="5" t="s">
        <v>4</v>
      </c>
      <c r="G194" s="5">
        <v>1</v>
      </c>
      <c r="H194" s="5" t="s">
        <v>963</v>
      </c>
      <c r="I194" s="13">
        <v>502014373</v>
      </c>
      <c r="J194" s="10" t="s">
        <v>1177</v>
      </c>
      <c r="K194" t="str">
        <f>LEFT(C194,FIND(" ",C194)-1)&amp;"-"&amp;E194&amp;" "&amp;"Filialina çardırılma"</f>
        <v>Leyla-Baki Filialina çardırılma</v>
      </c>
      <c r="L194">
        <f>VLOOKUP(D194,Anbar!$A$2:$B$5,2,FALSE)</f>
        <v>1200</v>
      </c>
      <c r="M194">
        <f>VLOOKUP(D194,Anbar!$A$2:$C$5,3,FALSE)</f>
        <v>1800</v>
      </c>
      <c r="N194">
        <f t="shared" si="4"/>
        <v>1800</v>
      </c>
      <c r="O194">
        <f t="shared" si="5"/>
        <v>600</v>
      </c>
      <c r="P194" t="str">
        <f>IF(AND(F194="Nağd",G194&gt;5),M194*0.9,"0%")</f>
        <v>0%</v>
      </c>
      <c r="Q194" s="9">
        <f>IF(F194="Kredit",EOMONTH(B194,0),"")</f>
        <v>46142</v>
      </c>
      <c r="R194" s="17" t="str">
        <f>TEXT(B194,"dddd")</f>
        <v>Tuesday</v>
      </c>
    </row>
    <row r="195" spans="1:18">
      <c r="A195" s="5" t="s">
        <v>202</v>
      </c>
      <c r="B195" s="8">
        <v>46111</v>
      </c>
      <c r="C195" s="5" t="s">
        <v>967</v>
      </c>
      <c r="D195" s="5" t="s">
        <v>968</v>
      </c>
      <c r="E195" s="5" t="s">
        <v>966</v>
      </c>
      <c r="F195" s="5" t="s">
        <v>4</v>
      </c>
      <c r="G195" s="5">
        <v>5</v>
      </c>
      <c r="H195" s="5" t="s">
        <v>963</v>
      </c>
      <c r="I195" s="13">
        <v>552058967</v>
      </c>
      <c r="J195" s="10" t="s">
        <v>1178</v>
      </c>
      <c r="K195" t="str">
        <f>LEFT(C195,FIND(" ",C195)-1)&amp;"-"&amp;E195&amp;" "&amp;"Filialina çardırılma"</f>
        <v>Aysel-Bakı Filialina çardırılma</v>
      </c>
      <c r="L195">
        <f>VLOOKUP(D195,Anbar!$A$2:$B$5,2,FALSE)</f>
        <v>400</v>
      </c>
      <c r="M195">
        <f>VLOOKUP(D195,Anbar!$A$2:$C$5,3,FALSE)</f>
        <v>650</v>
      </c>
      <c r="N195">
        <f t="shared" ref="N195:N258" si="6">G195*M195</f>
        <v>3250</v>
      </c>
      <c r="O195">
        <f t="shared" ref="O195:O258" si="7">(M195-L195)*G195</f>
        <v>1250</v>
      </c>
      <c r="P195" t="str">
        <f>IF(AND(F195="Nağd",G195&gt;5),M195*0.9,"0%")</f>
        <v>0%</v>
      </c>
      <c r="Q195" s="9">
        <f>IF(F195="Kredit",EOMONTH(B195,0),"")</f>
        <v>46112</v>
      </c>
      <c r="R195" s="17" t="str">
        <f>TEXT(B195,"dddd")</f>
        <v>Monday</v>
      </c>
    </row>
    <row r="196" spans="1:18">
      <c r="A196" s="5" t="s">
        <v>203</v>
      </c>
      <c r="B196" s="8">
        <v>46121</v>
      </c>
      <c r="C196" s="5" t="s">
        <v>967</v>
      </c>
      <c r="D196" s="5" t="s">
        <v>971</v>
      </c>
      <c r="E196" s="5" t="s">
        <v>9</v>
      </c>
      <c r="F196" s="5" t="s">
        <v>4</v>
      </c>
      <c r="G196" s="5">
        <v>3</v>
      </c>
      <c r="H196" s="5" t="s">
        <v>963</v>
      </c>
      <c r="I196" s="13">
        <v>706200810</v>
      </c>
      <c r="J196" s="10" t="s">
        <v>1179</v>
      </c>
      <c r="K196" t="str">
        <f>LEFT(C196,FIND(" ",C196)-1)&amp;"-"&amp;E196&amp;" "&amp;"Filialina çardırılma"</f>
        <v>Aysel-Gence Filialina çardırılma</v>
      </c>
      <c r="L196">
        <f>VLOOKUP(D196,Anbar!$A$2:$B$5,2,FALSE)</f>
        <v>1200</v>
      </c>
      <c r="M196">
        <f>VLOOKUP(D196,Anbar!$A$2:$C$5,3,FALSE)</f>
        <v>1800</v>
      </c>
      <c r="N196">
        <f t="shared" si="6"/>
        <v>5400</v>
      </c>
      <c r="O196">
        <f t="shared" si="7"/>
        <v>1800</v>
      </c>
      <c r="P196" t="str">
        <f>IF(AND(F196="Nağd",G196&gt;5),M196*0.9,"0%")</f>
        <v>0%</v>
      </c>
      <c r="Q196" s="9">
        <f>IF(F196="Kredit",EOMONTH(B196,0),"")</f>
        <v>46142</v>
      </c>
      <c r="R196" s="17" t="str">
        <f>TEXT(B196,"dddd")</f>
        <v>Thursday</v>
      </c>
    </row>
    <row r="197" spans="1:18">
      <c r="A197" s="5" t="s">
        <v>204</v>
      </c>
      <c r="B197" s="8">
        <v>46130</v>
      </c>
      <c r="C197" s="5" t="s">
        <v>976</v>
      </c>
      <c r="D197" s="5" t="s">
        <v>15</v>
      </c>
      <c r="E197" s="5" t="s">
        <v>982</v>
      </c>
      <c r="F197" s="5" t="s">
        <v>4</v>
      </c>
      <c r="G197" s="5">
        <v>5</v>
      </c>
      <c r="H197" s="5" t="s">
        <v>963</v>
      </c>
      <c r="I197" s="13">
        <v>705032748</v>
      </c>
      <c r="J197" s="10" t="s">
        <v>1180</v>
      </c>
      <c r="K197" t="str">
        <f>LEFT(C197,FIND(" ",C197)-1)&amp;"-"&amp;E197&amp;" "&amp;"Filialina çardırılma"</f>
        <v>Nərgin-Baki Filialina çardırılma</v>
      </c>
      <c r="L197">
        <f>VLOOKUP(D197,Anbar!$A$2:$B$5,2,FALSE)</f>
        <v>600</v>
      </c>
      <c r="M197">
        <f>VLOOKUP(D197,Anbar!$A$2:$C$5,3,FALSE)</f>
        <v>950</v>
      </c>
      <c r="N197">
        <f t="shared" si="6"/>
        <v>4750</v>
      </c>
      <c r="O197">
        <f t="shared" si="7"/>
        <v>1750</v>
      </c>
      <c r="P197" t="str">
        <f>IF(AND(F197="Nağd",G197&gt;5),M197*0.9,"0%")</f>
        <v>0%</v>
      </c>
      <c r="Q197" s="9">
        <f>IF(F197="Kredit",EOMONTH(B197,0),"")</f>
        <v>46142</v>
      </c>
      <c r="R197" s="17" t="str">
        <f>TEXT(B197,"dddd")</f>
        <v>Saturday</v>
      </c>
    </row>
    <row r="198" spans="1:18">
      <c r="A198" s="5" t="s">
        <v>205</v>
      </c>
      <c r="B198" s="8">
        <v>46129</v>
      </c>
      <c r="C198" s="5" t="s">
        <v>976</v>
      </c>
      <c r="D198" s="5" t="s">
        <v>20</v>
      </c>
      <c r="E198" s="5" t="s">
        <v>9</v>
      </c>
      <c r="F198" s="5" t="s">
        <v>4</v>
      </c>
      <c r="G198" s="5">
        <v>2</v>
      </c>
      <c r="H198" s="5" t="s">
        <v>963</v>
      </c>
      <c r="I198" s="13">
        <v>700125551</v>
      </c>
      <c r="J198" s="10" t="s">
        <v>1181</v>
      </c>
      <c r="K198" t="str">
        <f>LEFT(C198,FIND(" ",C198)-1)&amp;"-"&amp;E198&amp;" "&amp;"Filialina çardırılma"</f>
        <v>Nərgin-Gence Filialina çardırılma</v>
      </c>
      <c r="L198">
        <f>VLOOKUP(D198,Anbar!$A$2:$B$5,2,FALSE)</f>
        <v>15</v>
      </c>
      <c r="M198">
        <f>VLOOKUP(D198,Anbar!$A$2:$C$5,3,FALSE)</f>
        <v>45</v>
      </c>
      <c r="N198">
        <f t="shared" si="6"/>
        <v>90</v>
      </c>
      <c r="O198">
        <f t="shared" si="7"/>
        <v>60</v>
      </c>
      <c r="P198" t="str">
        <f>IF(AND(F198="Nağd",G198&gt;5),M198*0.9,"0%")</f>
        <v>0%</v>
      </c>
      <c r="Q198" s="9">
        <f>IF(F198="Kredit",EOMONTH(B198,0),"")</f>
        <v>46142</v>
      </c>
      <c r="R198" s="17" t="str">
        <f>TEXT(B198,"dddd")</f>
        <v>Friday</v>
      </c>
    </row>
    <row r="199" spans="1:18">
      <c r="A199" s="5" t="s">
        <v>206</v>
      </c>
      <c r="B199" s="8">
        <v>46128</v>
      </c>
      <c r="C199" s="5" t="s">
        <v>977</v>
      </c>
      <c r="D199" s="5" t="s">
        <v>971</v>
      </c>
      <c r="E199" s="5" t="s">
        <v>9</v>
      </c>
      <c r="F199" s="5" t="s">
        <v>4</v>
      </c>
      <c r="G199" s="5">
        <v>10</v>
      </c>
      <c r="H199" s="5" t="s">
        <v>963</v>
      </c>
      <c r="I199" s="13">
        <v>550039224</v>
      </c>
      <c r="J199" s="10" t="s">
        <v>1182</v>
      </c>
      <c r="K199" t="str">
        <f>LEFT(C199,FIND(" ",C199)-1)&amp;"-"&amp;E199&amp;" "&amp;"Filialina çardırılma"</f>
        <v>Elnur-Gence Filialina çardırılma</v>
      </c>
      <c r="L199">
        <f>VLOOKUP(D199,Anbar!$A$2:$B$5,2,FALSE)</f>
        <v>1200</v>
      </c>
      <c r="M199">
        <f>VLOOKUP(D199,Anbar!$A$2:$C$5,3,FALSE)</f>
        <v>1800</v>
      </c>
      <c r="N199">
        <f t="shared" si="6"/>
        <v>18000</v>
      </c>
      <c r="O199">
        <f t="shared" si="7"/>
        <v>6000</v>
      </c>
      <c r="P199" t="str">
        <f>IF(AND(F199="Nağd",G199&gt;5),M199*0.9,"0%")</f>
        <v>0%</v>
      </c>
      <c r="Q199" s="9">
        <f>IF(F199="Kredit",EOMONTH(B199,0),"")</f>
        <v>46142</v>
      </c>
      <c r="R199" s="17" t="str">
        <f>TEXT(B199,"dddd")</f>
        <v>Thursday</v>
      </c>
    </row>
    <row r="200" spans="1:18">
      <c r="A200" s="5" t="s">
        <v>207</v>
      </c>
      <c r="B200" s="8">
        <v>46045</v>
      </c>
      <c r="C200" s="5" t="s">
        <v>976</v>
      </c>
      <c r="D200" s="5" t="s">
        <v>971</v>
      </c>
      <c r="E200" s="5" t="s">
        <v>981</v>
      </c>
      <c r="F200" s="5" t="s">
        <v>965</v>
      </c>
      <c r="G200" s="5">
        <v>2</v>
      </c>
      <c r="H200" s="5" t="s">
        <v>963</v>
      </c>
      <c r="I200" s="13">
        <v>550109216</v>
      </c>
      <c r="J200" s="10" t="s">
        <v>1183</v>
      </c>
      <c r="K200" t="str">
        <f>LEFT(C200,FIND(" ",C200)-1)&amp;"-"&amp;E200&amp;" "&amp;"Filialina çardırılma"</f>
        <v>Nərgin-Gəncə Filialina çardırılma</v>
      </c>
      <c r="L200">
        <f>VLOOKUP(D200,Anbar!$A$2:$B$5,2,FALSE)</f>
        <v>1200</v>
      </c>
      <c r="M200">
        <f>VLOOKUP(D200,Anbar!$A$2:$C$5,3,FALSE)</f>
        <v>1800</v>
      </c>
      <c r="N200">
        <f t="shared" si="6"/>
        <v>3600</v>
      </c>
      <c r="O200">
        <f t="shared" si="7"/>
        <v>1200</v>
      </c>
      <c r="P200" t="str">
        <f>IF(AND(F200="Nağd",G200&gt;5),M200*0.9,"0%")</f>
        <v>0%</v>
      </c>
      <c r="Q200" s="9" t="str">
        <f>IF(F200="Kredit",EOMONTH(B200,0),"")</f>
        <v/>
      </c>
      <c r="R200" s="17" t="str">
        <f>TEXT(B200,"dddd")</f>
        <v>Friday</v>
      </c>
    </row>
    <row r="201" spans="1:18">
      <c r="A201" s="5" t="s">
        <v>208</v>
      </c>
      <c r="B201" s="8">
        <v>46130</v>
      </c>
      <c r="C201" s="5" t="s">
        <v>976</v>
      </c>
      <c r="D201" s="5" t="s">
        <v>20</v>
      </c>
      <c r="E201" s="5" t="s">
        <v>9</v>
      </c>
      <c r="F201" s="5" t="s">
        <v>7</v>
      </c>
      <c r="G201" s="5">
        <v>6</v>
      </c>
      <c r="H201" s="5" t="s">
        <v>963</v>
      </c>
      <c r="I201" s="13">
        <v>550392874</v>
      </c>
      <c r="J201" s="10" t="s">
        <v>1184</v>
      </c>
      <c r="K201" t="str">
        <f>LEFT(C201,FIND(" ",C201)-1)&amp;"-"&amp;E201&amp;" "&amp;"Filialina çardırılma"</f>
        <v>Nərgin-Gence Filialina çardırılma</v>
      </c>
      <c r="L201">
        <f>VLOOKUP(D201,Anbar!$A$2:$B$5,2,FALSE)</f>
        <v>15</v>
      </c>
      <c r="M201">
        <f>VLOOKUP(D201,Anbar!$A$2:$C$5,3,FALSE)</f>
        <v>45</v>
      </c>
      <c r="N201">
        <f t="shared" si="6"/>
        <v>270</v>
      </c>
      <c r="O201">
        <f t="shared" si="7"/>
        <v>180</v>
      </c>
      <c r="P201" t="str">
        <f>IF(AND(F201="Nağd",G201&gt;5),M201*0.9,"0%")</f>
        <v>0%</v>
      </c>
      <c r="Q201" s="9" t="str">
        <f>IF(F201="Kredit",EOMONTH(B201,0),"")</f>
        <v/>
      </c>
      <c r="R201" s="17" t="str">
        <f>TEXT(B201,"dddd")</f>
        <v>Saturday</v>
      </c>
    </row>
    <row r="202" spans="1:18">
      <c r="A202" s="5" t="s">
        <v>209</v>
      </c>
      <c r="B202" s="8">
        <v>46098</v>
      </c>
      <c r="C202" s="5" t="s">
        <v>967</v>
      </c>
      <c r="D202" s="5" t="s">
        <v>15</v>
      </c>
      <c r="E202" s="5" t="s">
        <v>980</v>
      </c>
      <c r="F202" s="5" t="s">
        <v>4</v>
      </c>
      <c r="G202" s="5">
        <v>1</v>
      </c>
      <c r="H202" s="5" t="s">
        <v>963</v>
      </c>
      <c r="I202" s="13">
        <v>519878606</v>
      </c>
      <c r="J202" s="10" t="s">
        <v>1185</v>
      </c>
      <c r="K202" t="str">
        <f>LEFT(C202,FIND(" ",C202)-1)&amp;"-"&amp;E202&amp;" "&amp;"Filialina çardırılma"</f>
        <v>Aysel-Sumqayit Filialina çardırılma</v>
      </c>
      <c r="L202">
        <f>VLOOKUP(D202,Anbar!$A$2:$B$5,2,FALSE)</f>
        <v>600</v>
      </c>
      <c r="M202">
        <f>VLOOKUP(D202,Anbar!$A$2:$C$5,3,FALSE)</f>
        <v>950</v>
      </c>
      <c r="N202">
        <f t="shared" si="6"/>
        <v>950</v>
      </c>
      <c r="O202">
        <f t="shared" si="7"/>
        <v>350</v>
      </c>
      <c r="P202" t="str">
        <f>IF(AND(F202="Nağd",G202&gt;5),M202*0.9,"0%")</f>
        <v>0%</v>
      </c>
      <c r="Q202" s="9">
        <f>IF(F202="Kredit",EOMONTH(B202,0),"")</f>
        <v>46112</v>
      </c>
      <c r="R202" s="17" t="str">
        <f>TEXT(B202,"dddd")</f>
        <v>Tuesday</v>
      </c>
    </row>
    <row r="203" spans="1:18">
      <c r="A203" s="5" t="s">
        <v>210</v>
      </c>
      <c r="B203" s="8">
        <v>46081</v>
      </c>
      <c r="C203" s="5" t="s">
        <v>978</v>
      </c>
      <c r="D203" s="5" t="s">
        <v>20</v>
      </c>
      <c r="E203" s="5" t="s">
        <v>966</v>
      </c>
      <c r="F203" s="5" t="s">
        <v>7</v>
      </c>
      <c r="G203" s="5">
        <v>10</v>
      </c>
      <c r="H203" s="5" t="s">
        <v>963</v>
      </c>
      <c r="I203" s="13">
        <v>506107206</v>
      </c>
      <c r="J203" s="10" t="s">
        <v>1186</v>
      </c>
      <c r="K203" t="str">
        <f>LEFT(C203,FIND(" ",C203)-1)&amp;"-"&amp;E203&amp;" "&amp;"Filialina çardırılma"</f>
        <v>Əli-Bakı Filialina çardırılma</v>
      </c>
      <c r="L203">
        <f>VLOOKUP(D203,Anbar!$A$2:$B$5,2,FALSE)</f>
        <v>15</v>
      </c>
      <c r="M203">
        <f>VLOOKUP(D203,Anbar!$A$2:$C$5,3,FALSE)</f>
        <v>45</v>
      </c>
      <c r="N203">
        <f t="shared" si="6"/>
        <v>450</v>
      </c>
      <c r="O203">
        <f t="shared" si="7"/>
        <v>300</v>
      </c>
      <c r="P203" t="str">
        <f>IF(AND(F203="Nağd",G203&gt;5),M203*0.9,"0%")</f>
        <v>0%</v>
      </c>
      <c r="Q203" s="9" t="str">
        <f>IF(F203="Kredit",EOMONTH(B203,0),"")</f>
        <v/>
      </c>
      <c r="R203" s="17" t="str">
        <f>TEXT(B203,"dddd")</f>
        <v>Saturday</v>
      </c>
    </row>
    <row r="204" spans="1:18">
      <c r="A204" s="5" t="s">
        <v>211</v>
      </c>
      <c r="B204" s="8">
        <v>46154</v>
      </c>
      <c r="C204" s="5" t="s">
        <v>975</v>
      </c>
      <c r="D204" s="5" t="s">
        <v>971</v>
      </c>
      <c r="E204" s="5" t="s">
        <v>966</v>
      </c>
      <c r="F204" s="5" t="s">
        <v>4</v>
      </c>
      <c r="G204" s="5">
        <v>9</v>
      </c>
      <c r="H204" s="5" t="s">
        <v>963</v>
      </c>
      <c r="I204" s="13">
        <v>506866210</v>
      </c>
      <c r="J204" s="10" t="s">
        <v>1187</v>
      </c>
      <c r="K204" t="str">
        <f>LEFT(C204,FIND(" ",C204)-1)&amp;"-"&amp;E204&amp;" "&amp;"Filialina çardırılma"</f>
        <v>Murad-Bakı Filialina çardırılma</v>
      </c>
      <c r="L204">
        <f>VLOOKUP(D204,Anbar!$A$2:$B$5,2,FALSE)</f>
        <v>1200</v>
      </c>
      <c r="M204">
        <f>VLOOKUP(D204,Anbar!$A$2:$C$5,3,FALSE)</f>
        <v>1800</v>
      </c>
      <c r="N204">
        <f t="shared" si="6"/>
        <v>16200</v>
      </c>
      <c r="O204">
        <f t="shared" si="7"/>
        <v>5400</v>
      </c>
      <c r="P204" t="str">
        <f>IF(AND(F204="Nağd",G204&gt;5),M204*0.9,"0%")</f>
        <v>0%</v>
      </c>
      <c r="Q204" s="9">
        <f>IF(F204="Kredit",EOMONTH(B204,0),"")</f>
        <v>46173</v>
      </c>
      <c r="R204" s="17" t="str">
        <f>TEXT(B204,"dddd")</f>
        <v>Tuesday</v>
      </c>
    </row>
    <row r="205" spans="1:18">
      <c r="A205" s="5" t="s">
        <v>212</v>
      </c>
      <c r="B205" s="8">
        <v>46106</v>
      </c>
      <c r="C205" s="5" t="s">
        <v>975</v>
      </c>
      <c r="D205" s="5" t="s">
        <v>15</v>
      </c>
      <c r="E205" s="5" t="s">
        <v>964</v>
      </c>
      <c r="F205" s="5" t="s">
        <v>965</v>
      </c>
      <c r="G205" s="5">
        <v>7</v>
      </c>
      <c r="H205" s="5" t="s">
        <v>963</v>
      </c>
      <c r="I205" s="13">
        <v>501836108</v>
      </c>
      <c r="J205" s="10" t="s">
        <v>1188</v>
      </c>
      <c r="K205" t="str">
        <f>LEFT(C205,FIND(" ",C205)-1)&amp;"-"&amp;E205&amp;" "&amp;"Filialina çardırılma"</f>
        <v>Murad-Sumqayıt Filialina çardırılma</v>
      </c>
      <c r="L205">
        <f>VLOOKUP(D205,Anbar!$A$2:$B$5,2,FALSE)</f>
        <v>600</v>
      </c>
      <c r="M205">
        <f>VLOOKUP(D205,Anbar!$A$2:$C$5,3,FALSE)</f>
        <v>950</v>
      </c>
      <c r="N205">
        <f t="shared" si="6"/>
        <v>6650</v>
      </c>
      <c r="O205">
        <f t="shared" si="7"/>
        <v>2450</v>
      </c>
      <c r="P205">
        <f>IF(AND(F205="Nağd",G205&gt;5),M205*0.9,"0%")</f>
        <v>855</v>
      </c>
      <c r="Q205" s="9" t="str">
        <f>IF(F205="Kredit",EOMONTH(B205,0),"")</f>
        <v/>
      </c>
      <c r="R205" s="17" t="str">
        <f>TEXT(B205,"dddd")</f>
        <v>Wednesday</v>
      </c>
    </row>
    <row r="206" spans="1:18">
      <c r="A206" s="5" t="s">
        <v>213</v>
      </c>
      <c r="B206" s="8">
        <v>46046</v>
      </c>
      <c r="C206" s="5" t="s">
        <v>979</v>
      </c>
      <c r="D206" s="5" t="s">
        <v>15</v>
      </c>
      <c r="E206" s="5" t="s">
        <v>966</v>
      </c>
      <c r="F206" s="5" t="s">
        <v>7</v>
      </c>
      <c r="G206" s="5">
        <v>5</v>
      </c>
      <c r="H206" s="5" t="s">
        <v>963</v>
      </c>
      <c r="I206" s="13">
        <v>709415225</v>
      </c>
      <c r="J206" s="10" t="s">
        <v>1189</v>
      </c>
      <c r="K206" t="str">
        <f>LEFT(C206,FIND(" ",C206)-1)&amp;"-"&amp;E206&amp;" "&amp;"Filialina çardırılma"</f>
        <v>Leyla-Bakı Filialina çardırılma</v>
      </c>
      <c r="L206">
        <f>VLOOKUP(D206,Anbar!$A$2:$B$5,2,FALSE)</f>
        <v>600</v>
      </c>
      <c r="M206">
        <f>VLOOKUP(D206,Anbar!$A$2:$C$5,3,FALSE)</f>
        <v>950</v>
      </c>
      <c r="N206">
        <f t="shared" si="6"/>
        <v>4750</v>
      </c>
      <c r="O206">
        <f t="shared" si="7"/>
        <v>1750</v>
      </c>
      <c r="P206" t="str">
        <f>IF(AND(F206="Nağd",G206&gt;5),M206*0.9,"0%")</f>
        <v>0%</v>
      </c>
      <c r="Q206" s="9" t="str">
        <f>IF(F206="Kredit",EOMONTH(B206,0),"")</f>
        <v/>
      </c>
      <c r="R206" s="17" t="str">
        <f>TEXT(B206,"dddd")</f>
        <v>Saturday</v>
      </c>
    </row>
    <row r="207" spans="1:18">
      <c r="A207" s="5" t="s">
        <v>214</v>
      </c>
      <c r="B207" s="8">
        <v>46141</v>
      </c>
      <c r="C207" s="5" t="s">
        <v>976</v>
      </c>
      <c r="D207" s="5" t="s">
        <v>971</v>
      </c>
      <c r="E207" s="5" t="s">
        <v>982</v>
      </c>
      <c r="F207" s="5" t="s">
        <v>4</v>
      </c>
      <c r="G207" s="5">
        <v>4</v>
      </c>
      <c r="H207" s="5" t="s">
        <v>963</v>
      </c>
      <c r="I207" s="13">
        <v>502144385</v>
      </c>
      <c r="J207" s="10" t="s">
        <v>1190</v>
      </c>
      <c r="K207" t="str">
        <f>LEFT(C207,FIND(" ",C207)-1)&amp;"-"&amp;E207&amp;" "&amp;"Filialina çardırılma"</f>
        <v>Nərgin-Baki Filialina çardırılma</v>
      </c>
      <c r="L207">
        <f>VLOOKUP(D207,Anbar!$A$2:$B$5,2,FALSE)</f>
        <v>1200</v>
      </c>
      <c r="M207">
        <f>VLOOKUP(D207,Anbar!$A$2:$C$5,3,FALSE)</f>
        <v>1800</v>
      </c>
      <c r="N207">
        <f t="shared" si="6"/>
        <v>7200</v>
      </c>
      <c r="O207">
        <f t="shared" si="7"/>
        <v>2400</v>
      </c>
      <c r="P207" t="str">
        <f>IF(AND(F207="Nağd",G207&gt;5),M207*0.9,"0%")</f>
        <v>0%</v>
      </c>
      <c r="Q207" s="9">
        <f>IF(F207="Kredit",EOMONTH(B207,0),"")</f>
        <v>46142</v>
      </c>
      <c r="R207" s="17" t="str">
        <f>TEXT(B207,"dddd")</f>
        <v>Wednesday</v>
      </c>
    </row>
    <row r="208" spans="1:18">
      <c r="A208" s="5" t="s">
        <v>215</v>
      </c>
      <c r="B208" s="8">
        <v>46151</v>
      </c>
      <c r="C208" s="5" t="s">
        <v>977</v>
      </c>
      <c r="D208" s="5" t="s">
        <v>968</v>
      </c>
      <c r="E208" s="5" t="s">
        <v>9</v>
      </c>
      <c r="F208" s="5" t="s">
        <v>4</v>
      </c>
      <c r="G208" s="5">
        <v>10</v>
      </c>
      <c r="H208" s="5" t="s">
        <v>963</v>
      </c>
      <c r="I208" s="13">
        <v>509639004</v>
      </c>
      <c r="J208" s="10" t="s">
        <v>1191</v>
      </c>
      <c r="K208" t="str">
        <f>LEFT(C208,FIND(" ",C208)-1)&amp;"-"&amp;E208&amp;" "&amp;"Filialina çardırılma"</f>
        <v>Elnur-Gence Filialina çardırılma</v>
      </c>
      <c r="L208">
        <f>VLOOKUP(D208,Anbar!$A$2:$B$5,2,FALSE)</f>
        <v>400</v>
      </c>
      <c r="M208">
        <f>VLOOKUP(D208,Anbar!$A$2:$C$5,3,FALSE)</f>
        <v>650</v>
      </c>
      <c r="N208">
        <f t="shared" si="6"/>
        <v>6500</v>
      </c>
      <c r="O208">
        <f t="shared" si="7"/>
        <v>2500</v>
      </c>
      <c r="P208" t="str">
        <f>IF(AND(F208="Nağd",G208&gt;5),M208*0.9,"0%")</f>
        <v>0%</v>
      </c>
      <c r="Q208" s="9">
        <f>IF(F208="Kredit",EOMONTH(B208,0),"")</f>
        <v>46173</v>
      </c>
      <c r="R208" s="17" t="str">
        <f>TEXT(B208,"dddd")</f>
        <v>Saturday</v>
      </c>
    </row>
    <row r="209" spans="1:18">
      <c r="A209" s="5" t="s">
        <v>216</v>
      </c>
      <c r="B209" s="8">
        <v>46123</v>
      </c>
      <c r="C209" s="5" t="s">
        <v>977</v>
      </c>
      <c r="D209" s="5" t="s">
        <v>15</v>
      </c>
      <c r="E209" s="5" t="s">
        <v>982</v>
      </c>
      <c r="F209" s="5" t="s">
        <v>965</v>
      </c>
      <c r="G209" s="5">
        <v>7</v>
      </c>
      <c r="H209" s="5" t="s">
        <v>963</v>
      </c>
      <c r="I209" s="13">
        <v>706847314</v>
      </c>
      <c r="J209" s="10" t="s">
        <v>1192</v>
      </c>
      <c r="K209" t="str">
        <f>LEFT(C209,FIND(" ",C209)-1)&amp;"-"&amp;E209&amp;" "&amp;"Filialina çardırılma"</f>
        <v>Elnur-Baki Filialina çardırılma</v>
      </c>
      <c r="L209">
        <f>VLOOKUP(D209,Anbar!$A$2:$B$5,2,FALSE)</f>
        <v>600</v>
      </c>
      <c r="M209">
        <f>VLOOKUP(D209,Anbar!$A$2:$C$5,3,FALSE)</f>
        <v>950</v>
      </c>
      <c r="N209">
        <f t="shared" si="6"/>
        <v>6650</v>
      </c>
      <c r="O209">
        <f t="shared" si="7"/>
        <v>2450</v>
      </c>
      <c r="P209">
        <f>IF(AND(F209="Nağd",G209&gt;5),M209*0.9,"0%")</f>
        <v>855</v>
      </c>
      <c r="Q209" s="9" t="str">
        <f>IF(F209="Kredit",EOMONTH(B209,0),"")</f>
        <v/>
      </c>
      <c r="R209" s="17" t="str">
        <f>TEXT(B209,"dddd")</f>
        <v>Saturday</v>
      </c>
    </row>
    <row r="210" spans="1:18">
      <c r="A210" s="5" t="s">
        <v>217</v>
      </c>
      <c r="B210" s="8">
        <v>46143</v>
      </c>
      <c r="C210" s="5" t="s">
        <v>978</v>
      </c>
      <c r="D210" s="5" t="s">
        <v>20</v>
      </c>
      <c r="E210" s="5" t="s">
        <v>980</v>
      </c>
      <c r="F210" s="5" t="s">
        <v>965</v>
      </c>
      <c r="G210" s="5">
        <v>2</v>
      </c>
      <c r="H210" s="5" t="s">
        <v>963</v>
      </c>
      <c r="I210" s="13">
        <v>778502292</v>
      </c>
      <c r="J210" s="10" t="s">
        <v>1193</v>
      </c>
      <c r="K210" t="str">
        <f>LEFT(C210,FIND(" ",C210)-1)&amp;"-"&amp;E210&amp;" "&amp;"Filialina çardırılma"</f>
        <v>Əli-Sumqayit Filialina çardırılma</v>
      </c>
      <c r="L210">
        <f>VLOOKUP(D210,Anbar!$A$2:$B$5,2,FALSE)</f>
        <v>15</v>
      </c>
      <c r="M210">
        <f>VLOOKUP(D210,Anbar!$A$2:$C$5,3,FALSE)</f>
        <v>45</v>
      </c>
      <c r="N210">
        <f t="shared" si="6"/>
        <v>90</v>
      </c>
      <c r="O210">
        <f t="shared" si="7"/>
        <v>60</v>
      </c>
      <c r="P210" t="str">
        <f>IF(AND(F210="Nağd",G210&gt;5),M210*0.9,"0%")</f>
        <v>0%</v>
      </c>
      <c r="Q210" s="9" t="str">
        <f>IF(F210="Kredit",EOMONTH(B210,0),"")</f>
        <v/>
      </c>
      <c r="R210" s="17" t="str">
        <f>TEXT(B210,"dddd")</f>
        <v>Friday</v>
      </c>
    </row>
    <row r="211" spans="1:18">
      <c r="A211" s="5" t="s">
        <v>218</v>
      </c>
      <c r="B211" s="8">
        <v>46139</v>
      </c>
      <c r="C211" s="5" t="s">
        <v>975</v>
      </c>
      <c r="D211" s="5" t="s">
        <v>15</v>
      </c>
      <c r="E211" s="5" t="s">
        <v>983</v>
      </c>
      <c r="F211" s="5" t="s">
        <v>4</v>
      </c>
      <c r="G211" s="5">
        <v>3</v>
      </c>
      <c r="H211" s="5" t="s">
        <v>963</v>
      </c>
      <c r="I211" s="13">
        <v>709953884</v>
      </c>
      <c r="J211" s="10" t="s">
        <v>1194</v>
      </c>
      <c r="K211" t="str">
        <f>LEFT(C211,FIND(" ",C211)-1)&amp;"-"&amp;E211&amp;" "&amp;"Filialina çardırılma"</f>
        <v>Murad-Naməlum Filialina çardırılma</v>
      </c>
      <c r="L211">
        <f>VLOOKUP(D211,Anbar!$A$2:$B$5,2,FALSE)</f>
        <v>600</v>
      </c>
      <c r="M211">
        <f>VLOOKUP(D211,Anbar!$A$2:$C$5,3,FALSE)</f>
        <v>950</v>
      </c>
      <c r="N211">
        <f t="shared" si="6"/>
        <v>2850</v>
      </c>
      <c r="O211">
        <f t="shared" si="7"/>
        <v>1050</v>
      </c>
      <c r="P211" t="str">
        <f>IF(AND(F211="Nağd",G211&gt;5),M211*0.9,"0%")</f>
        <v>0%</v>
      </c>
      <c r="Q211" s="9">
        <f>IF(F211="Kredit",EOMONTH(B211,0),"")</f>
        <v>46142</v>
      </c>
      <c r="R211" s="17" t="str">
        <f>TEXT(B211,"dddd")</f>
        <v>Monday</v>
      </c>
    </row>
    <row r="212" spans="1:18">
      <c r="A212" s="5" t="s">
        <v>219</v>
      </c>
      <c r="B212" s="8">
        <v>46094</v>
      </c>
      <c r="C212" s="5" t="s">
        <v>979</v>
      </c>
      <c r="D212" s="5" t="s">
        <v>20</v>
      </c>
      <c r="E212" s="5" t="s">
        <v>980</v>
      </c>
      <c r="F212" s="5" t="s">
        <v>965</v>
      </c>
      <c r="G212" s="5">
        <v>2</v>
      </c>
      <c r="H212" s="5" t="s">
        <v>963</v>
      </c>
      <c r="I212" s="13">
        <v>517866591</v>
      </c>
      <c r="J212" s="10" t="s">
        <v>1195</v>
      </c>
      <c r="K212" t="str">
        <f>LEFT(C212,FIND(" ",C212)-1)&amp;"-"&amp;E212&amp;" "&amp;"Filialina çardırılma"</f>
        <v>Leyla-Sumqayit Filialina çardırılma</v>
      </c>
      <c r="L212">
        <f>VLOOKUP(D212,Anbar!$A$2:$B$5,2,FALSE)</f>
        <v>15</v>
      </c>
      <c r="M212">
        <f>VLOOKUP(D212,Anbar!$A$2:$C$5,3,FALSE)</f>
        <v>45</v>
      </c>
      <c r="N212">
        <f t="shared" si="6"/>
        <v>90</v>
      </c>
      <c r="O212">
        <f t="shared" si="7"/>
        <v>60</v>
      </c>
      <c r="P212" t="str">
        <f>IF(AND(F212="Nağd",G212&gt;5),M212*0.9,"0%")</f>
        <v>0%</v>
      </c>
      <c r="Q212" s="9" t="str">
        <f>IF(F212="Kredit",EOMONTH(B212,0),"")</f>
        <v/>
      </c>
      <c r="R212" s="17" t="str">
        <f>TEXT(B212,"dddd")</f>
        <v>Friday</v>
      </c>
    </row>
    <row r="213" spans="1:18">
      <c r="A213" s="5" t="s">
        <v>220</v>
      </c>
      <c r="B213" s="8">
        <v>46095</v>
      </c>
      <c r="C213" s="5" t="s">
        <v>967</v>
      </c>
      <c r="D213" s="5" t="s">
        <v>20</v>
      </c>
      <c r="E213" s="5" t="s">
        <v>982</v>
      </c>
      <c r="F213" s="5" t="s">
        <v>4</v>
      </c>
      <c r="G213" s="5">
        <v>3</v>
      </c>
      <c r="H213" s="5" t="s">
        <v>963</v>
      </c>
      <c r="I213" s="13">
        <v>779481590</v>
      </c>
      <c r="J213" s="10" t="s">
        <v>1196</v>
      </c>
      <c r="K213" t="str">
        <f>LEFT(C213,FIND(" ",C213)-1)&amp;"-"&amp;E213&amp;" "&amp;"Filialina çardırılma"</f>
        <v>Aysel-Baki Filialina çardırılma</v>
      </c>
      <c r="L213">
        <f>VLOOKUP(D213,Anbar!$A$2:$B$5,2,FALSE)</f>
        <v>15</v>
      </c>
      <c r="M213">
        <f>VLOOKUP(D213,Anbar!$A$2:$C$5,3,FALSE)</f>
        <v>45</v>
      </c>
      <c r="N213">
        <f t="shared" si="6"/>
        <v>135</v>
      </c>
      <c r="O213">
        <f t="shared" si="7"/>
        <v>90</v>
      </c>
      <c r="P213" t="str">
        <f>IF(AND(F213="Nağd",G213&gt;5),M213*0.9,"0%")</f>
        <v>0%</v>
      </c>
      <c r="Q213" s="9">
        <f>IF(F213="Kredit",EOMONTH(B213,0),"")</f>
        <v>46112</v>
      </c>
      <c r="R213" s="17" t="str">
        <f>TEXT(B213,"dddd")</f>
        <v>Saturday</v>
      </c>
    </row>
    <row r="214" spans="1:18">
      <c r="A214" s="5" t="s">
        <v>221</v>
      </c>
      <c r="B214" s="8">
        <v>46052</v>
      </c>
      <c r="C214" s="5" t="s">
        <v>978</v>
      </c>
      <c r="D214" s="5" t="s">
        <v>15</v>
      </c>
      <c r="E214" s="5" t="s">
        <v>966</v>
      </c>
      <c r="F214" s="5" t="s">
        <v>7</v>
      </c>
      <c r="G214" s="5">
        <v>1</v>
      </c>
      <c r="H214" s="5" t="s">
        <v>963</v>
      </c>
      <c r="I214" s="13">
        <v>512685209</v>
      </c>
      <c r="J214" s="10" t="s">
        <v>1197</v>
      </c>
      <c r="K214" t="str">
        <f>LEFT(C214,FIND(" ",C214)-1)&amp;"-"&amp;E214&amp;" "&amp;"Filialina çardırılma"</f>
        <v>Əli-Bakı Filialina çardırılma</v>
      </c>
      <c r="L214">
        <f>VLOOKUP(D214,Anbar!$A$2:$B$5,2,FALSE)</f>
        <v>600</v>
      </c>
      <c r="M214">
        <f>VLOOKUP(D214,Anbar!$A$2:$C$5,3,FALSE)</f>
        <v>950</v>
      </c>
      <c r="N214">
        <f t="shared" si="6"/>
        <v>950</v>
      </c>
      <c r="O214">
        <f t="shared" si="7"/>
        <v>350</v>
      </c>
      <c r="P214" t="str">
        <f>IF(AND(F214="Nağd",G214&gt;5),M214*0.9,"0%")</f>
        <v>0%</v>
      </c>
      <c r="Q214" s="9" t="str">
        <f>IF(F214="Kredit",EOMONTH(B214,0),"")</f>
        <v/>
      </c>
      <c r="R214" s="17" t="str">
        <f>TEXT(B214,"dddd")</f>
        <v>Friday</v>
      </c>
    </row>
    <row r="215" spans="1:18">
      <c r="A215" s="5" t="s">
        <v>222</v>
      </c>
      <c r="B215" s="8">
        <v>46090</v>
      </c>
      <c r="C215" s="5" t="s">
        <v>978</v>
      </c>
      <c r="D215" s="5" t="s">
        <v>15</v>
      </c>
      <c r="E215" s="5" t="s">
        <v>980</v>
      </c>
      <c r="F215" s="5" t="s">
        <v>7</v>
      </c>
      <c r="G215" s="5">
        <v>5</v>
      </c>
      <c r="H215" s="5" t="s">
        <v>963</v>
      </c>
      <c r="I215" s="13">
        <v>555196087</v>
      </c>
      <c r="J215" s="10" t="s">
        <v>1198</v>
      </c>
      <c r="K215" t="str">
        <f>LEFT(C215,FIND(" ",C215)-1)&amp;"-"&amp;E215&amp;" "&amp;"Filialina çardırılma"</f>
        <v>Əli-Sumqayit Filialina çardırılma</v>
      </c>
      <c r="L215">
        <f>VLOOKUP(D215,Anbar!$A$2:$B$5,2,FALSE)</f>
        <v>600</v>
      </c>
      <c r="M215">
        <f>VLOOKUP(D215,Anbar!$A$2:$C$5,3,FALSE)</f>
        <v>950</v>
      </c>
      <c r="N215">
        <f t="shared" si="6"/>
        <v>4750</v>
      </c>
      <c r="O215">
        <f t="shared" si="7"/>
        <v>1750</v>
      </c>
      <c r="P215" t="str">
        <f>IF(AND(F215="Nağd",G215&gt;5),M215*0.9,"0%")</f>
        <v>0%</v>
      </c>
      <c r="Q215" s="9" t="str">
        <f>IF(F215="Kredit",EOMONTH(B215,0),"")</f>
        <v/>
      </c>
      <c r="R215" s="17" t="str">
        <f>TEXT(B215,"dddd")</f>
        <v>Monday</v>
      </c>
    </row>
    <row r="216" spans="1:18">
      <c r="A216" s="5" t="s">
        <v>223</v>
      </c>
      <c r="B216" s="8">
        <v>46169</v>
      </c>
      <c r="C216" s="5" t="s">
        <v>976</v>
      </c>
      <c r="D216" s="5" t="s">
        <v>971</v>
      </c>
      <c r="E216" s="5" t="s">
        <v>9</v>
      </c>
      <c r="F216" s="5" t="s">
        <v>7</v>
      </c>
      <c r="G216" s="5">
        <v>6</v>
      </c>
      <c r="H216" s="5" t="s">
        <v>963</v>
      </c>
      <c r="I216" s="13">
        <v>554353651</v>
      </c>
      <c r="J216" s="10" t="s">
        <v>1199</v>
      </c>
      <c r="K216" t="str">
        <f>LEFT(C216,FIND(" ",C216)-1)&amp;"-"&amp;E216&amp;" "&amp;"Filialina çardırılma"</f>
        <v>Nərgin-Gence Filialina çardırılma</v>
      </c>
      <c r="L216">
        <f>VLOOKUP(D216,Anbar!$A$2:$B$5,2,FALSE)</f>
        <v>1200</v>
      </c>
      <c r="M216">
        <f>VLOOKUP(D216,Anbar!$A$2:$C$5,3,FALSE)</f>
        <v>1800</v>
      </c>
      <c r="N216">
        <f t="shared" si="6"/>
        <v>10800</v>
      </c>
      <c r="O216">
        <f t="shared" si="7"/>
        <v>3600</v>
      </c>
      <c r="P216" t="str">
        <f>IF(AND(F216="Nağd",G216&gt;5),M216*0.9,"0%")</f>
        <v>0%</v>
      </c>
      <c r="Q216" s="9" t="str">
        <f>IF(F216="Kredit",EOMONTH(B216,0),"")</f>
        <v/>
      </c>
      <c r="R216" s="17" t="str">
        <f>TEXT(B216,"dddd")</f>
        <v>Wednesday</v>
      </c>
    </row>
    <row r="217" spans="1:18">
      <c r="A217" s="5" t="s">
        <v>224</v>
      </c>
      <c r="B217" s="8">
        <v>46158</v>
      </c>
      <c r="C217" s="5" t="s">
        <v>975</v>
      </c>
      <c r="D217" s="5" t="s">
        <v>20</v>
      </c>
      <c r="E217" s="5" t="s">
        <v>964</v>
      </c>
      <c r="F217" s="5" t="s">
        <v>4</v>
      </c>
      <c r="G217" s="5">
        <v>7</v>
      </c>
      <c r="H217" s="5" t="s">
        <v>963</v>
      </c>
      <c r="I217" s="13">
        <v>707039887</v>
      </c>
      <c r="J217" s="10" t="s">
        <v>1200</v>
      </c>
      <c r="K217" t="str">
        <f>LEFT(C217,FIND(" ",C217)-1)&amp;"-"&amp;E217&amp;" "&amp;"Filialina çardırılma"</f>
        <v>Murad-Sumqayıt Filialina çardırılma</v>
      </c>
      <c r="L217">
        <f>VLOOKUP(D217,Anbar!$A$2:$B$5,2,FALSE)</f>
        <v>15</v>
      </c>
      <c r="M217">
        <f>VLOOKUP(D217,Anbar!$A$2:$C$5,3,FALSE)</f>
        <v>45</v>
      </c>
      <c r="N217">
        <f t="shared" si="6"/>
        <v>315</v>
      </c>
      <c r="O217">
        <f t="shared" si="7"/>
        <v>210</v>
      </c>
      <c r="P217" t="str">
        <f>IF(AND(F217="Nağd",G217&gt;5),M217*0.9,"0%")</f>
        <v>0%</v>
      </c>
      <c r="Q217" s="9">
        <f>IF(F217="Kredit",EOMONTH(B217,0),"")</f>
        <v>46173</v>
      </c>
      <c r="R217" s="17" t="str">
        <f>TEXT(B217,"dddd")</f>
        <v>Saturday</v>
      </c>
    </row>
    <row r="218" spans="1:18">
      <c r="A218" s="5" t="s">
        <v>225</v>
      </c>
      <c r="B218" s="8">
        <v>46052</v>
      </c>
      <c r="C218" s="5" t="s">
        <v>975</v>
      </c>
      <c r="D218" s="5" t="s">
        <v>20</v>
      </c>
      <c r="E218" s="5" t="s">
        <v>980</v>
      </c>
      <c r="F218" s="5" t="s">
        <v>4</v>
      </c>
      <c r="G218" s="5">
        <v>2</v>
      </c>
      <c r="H218" s="5" t="s">
        <v>963</v>
      </c>
      <c r="I218" s="13">
        <v>773292172</v>
      </c>
      <c r="J218" s="10" t="s">
        <v>1201</v>
      </c>
      <c r="K218" t="str">
        <f>LEFT(C218,FIND(" ",C218)-1)&amp;"-"&amp;E218&amp;" "&amp;"Filialina çardırılma"</f>
        <v>Murad-Sumqayit Filialina çardırılma</v>
      </c>
      <c r="L218">
        <f>VLOOKUP(D218,Anbar!$A$2:$B$5,2,FALSE)</f>
        <v>15</v>
      </c>
      <c r="M218">
        <f>VLOOKUP(D218,Anbar!$A$2:$C$5,3,FALSE)</f>
        <v>45</v>
      </c>
      <c r="N218">
        <f t="shared" si="6"/>
        <v>90</v>
      </c>
      <c r="O218">
        <f t="shared" si="7"/>
        <v>60</v>
      </c>
      <c r="P218" t="str">
        <f>IF(AND(F218="Nağd",G218&gt;5),M218*0.9,"0%")</f>
        <v>0%</v>
      </c>
      <c r="Q218" s="9">
        <f>IF(F218="Kredit",EOMONTH(B218,0),"")</f>
        <v>46053</v>
      </c>
      <c r="R218" s="17" t="str">
        <f>TEXT(B218,"dddd")</f>
        <v>Friday</v>
      </c>
    </row>
    <row r="219" spans="1:18">
      <c r="A219" s="5" t="s">
        <v>226</v>
      </c>
      <c r="B219" s="8">
        <v>46120</v>
      </c>
      <c r="C219" s="5" t="s">
        <v>6</v>
      </c>
      <c r="D219" s="5" t="s">
        <v>15</v>
      </c>
      <c r="E219" s="5" t="s">
        <v>964</v>
      </c>
      <c r="F219" s="5" t="s">
        <v>7</v>
      </c>
      <c r="G219" s="5">
        <v>1</v>
      </c>
      <c r="H219" s="5" t="s">
        <v>963</v>
      </c>
      <c r="I219" s="13">
        <v>504415348</v>
      </c>
      <c r="J219" s="10" t="s">
        <v>1202</v>
      </c>
      <c r="K219" t="str">
        <f>LEFT(C219,FIND(" ",C219)-1)&amp;"-"&amp;E219&amp;" "&amp;"Filialina çardırılma"</f>
        <v>Zaur-Sumqayıt Filialina çardırılma</v>
      </c>
      <c r="L219">
        <f>VLOOKUP(D219,Anbar!$A$2:$B$5,2,FALSE)</f>
        <v>600</v>
      </c>
      <c r="M219">
        <f>VLOOKUP(D219,Anbar!$A$2:$C$5,3,FALSE)</f>
        <v>950</v>
      </c>
      <c r="N219">
        <f t="shared" si="6"/>
        <v>950</v>
      </c>
      <c r="O219">
        <f t="shared" si="7"/>
        <v>350</v>
      </c>
      <c r="P219" t="str">
        <f>IF(AND(F219="Nağd",G219&gt;5),M219*0.9,"0%")</f>
        <v>0%</v>
      </c>
      <c r="Q219" s="9" t="str">
        <f>IF(F219="Kredit",EOMONTH(B219,0),"")</f>
        <v/>
      </c>
      <c r="R219" s="17" t="str">
        <f>TEXT(B219,"dddd")</f>
        <v>Wednesday</v>
      </c>
    </row>
    <row r="220" spans="1:18">
      <c r="A220" s="5" t="s">
        <v>227</v>
      </c>
      <c r="B220" s="8">
        <v>46166</v>
      </c>
      <c r="C220" s="5" t="s">
        <v>974</v>
      </c>
      <c r="D220" s="5" t="s">
        <v>15</v>
      </c>
      <c r="E220" s="5" t="s">
        <v>964</v>
      </c>
      <c r="F220" s="5" t="s">
        <v>4</v>
      </c>
      <c r="G220" s="5">
        <v>7</v>
      </c>
      <c r="H220" s="5" t="s">
        <v>963</v>
      </c>
      <c r="I220" s="13">
        <v>770997705</v>
      </c>
      <c r="J220" s="10" t="s">
        <v>1203</v>
      </c>
      <c r="K220" t="str">
        <f>LEFT(C220,FIND(" ",C220)-1)&amp;"-"&amp;E220&amp;" "&amp;"Filialina çardırılma"</f>
        <v>Ramil-Sumqayıt Filialina çardırılma</v>
      </c>
      <c r="L220">
        <f>VLOOKUP(D220,Anbar!$A$2:$B$5,2,FALSE)</f>
        <v>600</v>
      </c>
      <c r="M220">
        <f>VLOOKUP(D220,Anbar!$A$2:$C$5,3,FALSE)</f>
        <v>950</v>
      </c>
      <c r="N220">
        <f t="shared" si="6"/>
        <v>6650</v>
      </c>
      <c r="O220">
        <f t="shared" si="7"/>
        <v>2450</v>
      </c>
      <c r="P220" t="str">
        <f>IF(AND(F220="Nağd",G220&gt;5),M220*0.9,"0%")</f>
        <v>0%</v>
      </c>
      <c r="Q220" s="9">
        <f>IF(F220="Kredit",EOMONTH(B220,0),"")</f>
        <v>46173</v>
      </c>
      <c r="R220" s="17" t="str">
        <f>TEXT(B220,"dddd")</f>
        <v>Sunday</v>
      </c>
    </row>
    <row r="221" spans="1:18">
      <c r="A221" s="5" t="s">
        <v>228</v>
      </c>
      <c r="B221" s="8">
        <v>46148</v>
      </c>
      <c r="C221" s="5" t="s">
        <v>975</v>
      </c>
      <c r="D221" s="5" t="s">
        <v>20</v>
      </c>
      <c r="E221" s="5" t="s">
        <v>964</v>
      </c>
      <c r="F221" s="5" t="s">
        <v>7</v>
      </c>
      <c r="G221" s="5">
        <v>2</v>
      </c>
      <c r="H221" s="5" t="s">
        <v>963</v>
      </c>
      <c r="I221" s="13">
        <v>704972750</v>
      </c>
      <c r="J221" s="10" t="s">
        <v>1204</v>
      </c>
      <c r="K221" t="str">
        <f>LEFT(C221,FIND(" ",C221)-1)&amp;"-"&amp;E221&amp;" "&amp;"Filialina çardırılma"</f>
        <v>Murad-Sumqayıt Filialina çardırılma</v>
      </c>
      <c r="L221">
        <f>VLOOKUP(D221,Anbar!$A$2:$B$5,2,FALSE)</f>
        <v>15</v>
      </c>
      <c r="M221">
        <f>VLOOKUP(D221,Anbar!$A$2:$C$5,3,FALSE)</f>
        <v>45</v>
      </c>
      <c r="N221">
        <f t="shared" si="6"/>
        <v>90</v>
      </c>
      <c r="O221">
        <f t="shared" si="7"/>
        <v>60</v>
      </c>
      <c r="P221" t="str">
        <f>IF(AND(F221="Nağd",G221&gt;5),M221*0.9,"0%")</f>
        <v>0%</v>
      </c>
      <c r="Q221" s="9" t="str">
        <f>IF(F221="Kredit",EOMONTH(B221,0),"")</f>
        <v/>
      </c>
      <c r="R221" s="17" t="str">
        <f>TEXT(B221,"dddd")</f>
        <v>Wednesday</v>
      </c>
    </row>
    <row r="222" spans="1:18">
      <c r="A222" s="5" t="s">
        <v>229</v>
      </c>
      <c r="B222" s="8">
        <v>46063</v>
      </c>
      <c r="C222" s="5" t="s">
        <v>976</v>
      </c>
      <c r="D222" s="5" t="s">
        <v>20</v>
      </c>
      <c r="E222" s="5" t="s">
        <v>980</v>
      </c>
      <c r="F222" s="5" t="s">
        <v>965</v>
      </c>
      <c r="G222" s="5">
        <v>4</v>
      </c>
      <c r="H222" s="5" t="s">
        <v>963</v>
      </c>
      <c r="I222" s="13">
        <v>776971028</v>
      </c>
      <c r="J222" s="10" t="s">
        <v>1205</v>
      </c>
      <c r="K222" t="str">
        <f>LEFT(C222,FIND(" ",C222)-1)&amp;"-"&amp;E222&amp;" "&amp;"Filialina çardırılma"</f>
        <v>Nərgin-Sumqayit Filialina çardırılma</v>
      </c>
      <c r="L222">
        <f>VLOOKUP(D222,Anbar!$A$2:$B$5,2,FALSE)</f>
        <v>15</v>
      </c>
      <c r="M222">
        <f>VLOOKUP(D222,Anbar!$A$2:$C$5,3,FALSE)</f>
        <v>45</v>
      </c>
      <c r="N222">
        <f t="shared" si="6"/>
        <v>180</v>
      </c>
      <c r="O222">
        <f t="shared" si="7"/>
        <v>120</v>
      </c>
      <c r="P222" t="str">
        <f>IF(AND(F222="Nağd",G222&gt;5),M222*0.9,"0%")</f>
        <v>0%</v>
      </c>
      <c r="Q222" s="9" t="str">
        <f>IF(F222="Kredit",EOMONTH(B222,0),"")</f>
        <v/>
      </c>
      <c r="R222" s="17" t="str">
        <f>TEXT(B222,"dddd")</f>
        <v>Tuesday</v>
      </c>
    </row>
    <row r="223" spans="1:18">
      <c r="A223" s="5" t="s">
        <v>230</v>
      </c>
      <c r="B223" s="8">
        <v>46091</v>
      </c>
      <c r="C223" s="5" t="s">
        <v>967</v>
      </c>
      <c r="D223" s="5" t="s">
        <v>971</v>
      </c>
      <c r="E223" s="5" t="s">
        <v>964</v>
      </c>
      <c r="F223" s="5" t="s">
        <v>4</v>
      </c>
      <c r="G223" s="5">
        <v>8</v>
      </c>
      <c r="H223" s="5" t="s">
        <v>963</v>
      </c>
      <c r="I223" s="13">
        <v>709143674</v>
      </c>
      <c r="J223" s="10" t="s">
        <v>1206</v>
      </c>
      <c r="K223" t="str">
        <f>LEFT(C223,FIND(" ",C223)-1)&amp;"-"&amp;E223&amp;" "&amp;"Filialina çardırılma"</f>
        <v>Aysel-Sumqayıt Filialina çardırılma</v>
      </c>
      <c r="L223">
        <f>VLOOKUP(D223,Anbar!$A$2:$B$5,2,FALSE)</f>
        <v>1200</v>
      </c>
      <c r="M223">
        <f>VLOOKUP(D223,Anbar!$A$2:$C$5,3,FALSE)</f>
        <v>1800</v>
      </c>
      <c r="N223">
        <f t="shared" si="6"/>
        <v>14400</v>
      </c>
      <c r="O223">
        <f t="shared" si="7"/>
        <v>4800</v>
      </c>
      <c r="P223" t="str">
        <f>IF(AND(F223="Nağd",G223&gt;5),M223*0.9,"0%")</f>
        <v>0%</v>
      </c>
      <c r="Q223" s="9">
        <f>IF(F223="Kredit",EOMONTH(B223,0),"")</f>
        <v>46112</v>
      </c>
      <c r="R223" s="17" t="str">
        <f>TEXT(B223,"dddd")</f>
        <v>Tuesday</v>
      </c>
    </row>
    <row r="224" spans="1:18">
      <c r="A224" s="5" t="s">
        <v>231</v>
      </c>
      <c r="B224" s="8">
        <v>46156</v>
      </c>
      <c r="C224" s="5" t="s">
        <v>974</v>
      </c>
      <c r="D224" s="5" t="s">
        <v>15</v>
      </c>
      <c r="E224" s="5" t="s">
        <v>982</v>
      </c>
      <c r="F224" s="5" t="s">
        <v>7</v>
      </c>
      <c r="G224" s="5">
        <v>2</v>
      </c>
      <c r="H224" s="5" t="s">
        <v>963</v>
      </c>
      <c r="I224" s="13">
        <v>512031434</v>
      </c>
      <c r="J224" s="10" t="s">
        <v>1207</v>
      </c>
      <c r="K224" t="str">
        <f>LEFT(C224,FIND(" ",C224)-1)&amp;"-"&amp;E224&amp;" "&amp;"Filialina çardırılma"</f>
        <v>Ramil-Baki Filialina çardırılma</v>
      </c>
      <c r="L224">
        <f>VLOOKUP(D224,Anbar!$A$2:$B$5,2,FALSE)</f>
        <v>600</v>
      </c>
      <c r="M224">
        <f>VLOOKUP(D224,Anbar!$A$2:$C$5,3,FALSE)</f>
        <v>950</v>
      </c>
      <c r="N224">
        <f t="shared" si="6"/>
        <v>1900</v>
      </c>
      <c r="O224">
        <f t="shared" si="7"/>
        <v>700</v>
      </c>
      <c r="P224" t="str">
        <f>IF(AND(F224="Nağd",G224&gt;5),M224*0.9,"0%")</f>
        <v>0%</v>
      </c>
      <c r="Q224" s="9" t="str">
        <f>IF(F224="Kredit",EOMONTH(B224,0),"")</f>
        <v/>
      </c>
      <c r="R224" s="17" t="str">
        <f>TEXT(B224,"dddd")</f>
        <v>Thursday</v>
      </c>
    </row>
    <row r="225" spans="1:18">
      <c r="A225" s="5" t="s">
        <v>232</v>
      </c>
      <c r="B225" s="8">
        <v>46120</v>
      </c>
      <c r="C225" s="5" t="s">
        <v>975</v>
      </c>
      <c r="D225" s="5" t="s">
        <v>15</v>
      </c>
      <c r="E225" s="5" t="s">
        <v>982</v>
      </c>
      <c r="F225" s="5" t="s">
        <v>4</v>
      </c>
      <c r="G225" s="5">
        <v>3</v>
      </c>
      <c r="H225" s="5" t="s">
        <v>963</v>
      </c>
      <c r="I225" s="13">
        <v>507905835</v>
      </c>
      <c r="J225" s="10" t="s">
        <v>1208</v>
      </c>
      <c r="K225" t="str">
        <f>LEFT(C225,FIND(" ",C225)-1)&amp;"-"&amp;E225&amp;" "&amp;"Filialina çardırılma"</f>
        <v>Murad-Baki Filialina çardırılma</v>
      </c>
      <c r="L225">
        <f>VLOOKUP(D225,Anbar!$A$2:$B$5,2,FALSE)</f>
        <v>600</v>
      </c>
      <c r="M225">
        <f>VLOOKUP(D225,Anbar!$A$2:$C$5,3,FALSE)</f>
        <v>950</v>
      </c>
      <c r="N225">
        <f t="shared" si="6"/>
        <v>2850</v>
      </c>
      <c r="O225">
        <f t="shared" si="7"/>
        <v>1050</v>
      </c>
      <c r="P225" t="str">
        <f>IF(AND(F225="Nağd",G225&gt;5),M225*0.9,"0%")</f>
        <v>0%</v>
      </c>
      <c r="Q225" s="9">
        <f>IF(F225="Kredit",EOMONTH(B225,0),"")</f>
        <v>46142</v>
      </c>
      <c r="R225" s="17" t="str">
        <f>TEXT(B225,"dddd")</f>
        <v>Wednesday</v>
      </c>
    </row>
    <row r="226" spans="1:18">
      <c r="A226" s="5" t="s">
        <v>233</v>
      </c>
      <c r="B226" s="8">
        <v>46172</v>
      </c>
      <c r="C226" s="5" t="s">
        <v>974</v>
      </c>
      <c r="D226" s="5" t="s">
        <v>15</v>
      </c>
      <c r="E226" s="5" t="s">
        <v>980</v>
      </c>
      <c r="F226" s="5" t="s">
        <v>4</v>
      </c>
      <c r="G226" s="5">
        <v>10</v>
      </c>
      <c r="H226" s="5" t="s">
        <v>963</v>
      </c>
      <c r="I226" s="13">
        <v>770256747</v>
      </c>
      <c r="J226" s="10" t="s">
        <v>1209</v>
      </c>
      <c r="K226" t="str">
        <f>LEFT(C226,FIND(" ",C226)-1)&amp;"-"&amp;E226&amp;" "&amp;"Filialina çardırılma"</f>
        <v>Ramil-Sumqayit Filialina çardırılma</v>
      </c>
      <c r="L226">
        <f>VLOOKUP(D226,Anbar!$A$2:$B$5,2,FALSE)</f>
        <v>600</v>
      </c>
      <c r="M226">
        <f>VLOOKUP(D226,Anbar!$A$2:$C$5,3,FALSE)</f>
        <v>950</v>
      </c>
      <c r="N226">
        <f t="shared" si="6"/>
        <v>9500</v>
      </c>
      <c r="O226">
        <f t="shared" si="7"/>
        <v>3500</v>
      </c>
      <c r="P226" t="str">
        <f>IF(AND(F226="Nağd",G226&gt;5),M226*0.9,"0%")</f>
        <v>0%</v>
      </c>
      <c r="Q226" s="9">
        <f>IF(F226="Kredit",EOMONTH(B226,0),"")</f>
        <v>46173</v>
      </c>
      <c r="R226" s="17" t="str">
        <f>TEXT(B226,"dddd")</f>
        <v>Saturday</v>
      </c>
    </row>
    <row r="227" spans="1:18">
      <c r="A227" s="5" t="s">
        <v>234</v>
      </c>
      <c r="B227" s="8">
        <v>46125</v>
      </c>
      <c r="C227" s="5" t="s">
        <v>967</v>
      </c>
      <c r="D227" s="5" t="s">
        <v>20</v>
      </c>
      <c r="E227" s="5" t="s">
        <v>982</v>
      </c>
      <c r="F227" s="5" t="s">
        <v>7</v>
      </c>
      <c r="G227" s="5">
        <v>5</v>
      </c>
      <c r="H227" s="5" t="s">
        <v>963</v>
      </c>
      <c r="I227" s="13">
        <v>558814349</v>
      </c>
      <c r="J227" s="10" t="s">
        <v>1210</v>
      </c>
      <c r="K227" t="str">
        <f>LEFT(C227,FIND(" ",C227)-1)&amp;"-"&amp;E227&amp;" "&amp;"Filialina çardırılma"</f>
        <v>Aysel-Baki Filialina çardırılma</v>
      </c>
      <c r="L227">
        <f>VLOOKUP(D227,Anbar!$A$2:$B$5,2,FALSE)</f>
        <v>15</v>
      </c>
      <c r="M227">
        <f>VLOOKUP(D227,Anbar!$A$2:$C$5,3,FALSE)</f>
        <v>45</v>
      </c>
      <c r="N227">
        <f t="shared" si="6"/>
        <v>225</v>
      </c>
      <c r="O227">
        <f t="shared" si="7"/>
        <v>150</v>
      </c>
      <c r="P227" t="str">
        <f>IF(AND(F227="Nağd",G227&gt;5),M227*0.9,"0%")</f>
        <v>0%</v>
      </c>
      <c r="Q227" s="9" t="str">
        <f>IF(F227="Kredit",EOMONTH(B227,0),"")</f>
        <v/>
      </c>
      <c r="R227" s="17" t="str">
        <f>TEXT(B227,"dddd")</f>
        <v>Monday</v>
      </c>
    </row>
    <row r="228" spans="1:18">
      <c r="A228" s="5" t="s">
        <v>235</v>
      </c>
      <c r="B228" s="8">
        <v>46110</v>
      </c>
      <c r="C228" s="5" t="s">
        <v>976</v>
      </c>
      <c r="D228" s="5" t="s">
        <v>15</v>
      </c>
      <c r="E228" s="5" t="s">
        <v>980</v>
      </c>
      <c r="F228" s="5" t="s">
        <v>7</v>
      </c>
      <c r="G228" s="5">
        <v>2</v>
      </c>
      <c r="H228" s="5" t="s">
        <v>963</v>
      </c>
      <c r="I228" s="13">
        <v>500919758</v>
      </c>
      <c r="J228" s="10" t="s">
        <v>1211</v>
      </c>
      <c r="K228" t="str">
        <f>LEFT(C228,FIND(" ",C228)-1)&amp;"-"&amp;E228&amp;" "&amp;"Filialina çardırılma"</f>
        <v>Nərgin-Sumqayit Filialina çardırılma</v>
      </c>
      <c r="L228">
        <f>VLOOKUP(D228,Anbar!$A$2:$B$5,2,FALSE)</f>
        <v>600</v>
      </c>
      <c r="M228">
        <f>VLOOKUP(D228,Anbar!$A$2:$C$5,3,FALSE)</f>
        <v>950</v>
      </c>
      <c r="N228">
        <f t="shared" si="6"/>
        <v>1900</v>
      </c>
      <c r="O228">
        <f t="shared" si="7"/>
        <v>700</v>
      </c>
      <c r="P228" t="str">
        <f>IF(AND(F228="Nağd",G228&gt;5),M228*0.9,"0%")</f>
        <v>0%</v>
      </c>
      <c r="Q228" s="9" t="str">
        <f>IF(F228="Kredit",EOMONTH(B228,0),"")</f>
        <v/>
      </c>
      <c r="R228" s="17" t="str">
        <f>TEXT(B228,"dddd")</f>
        <v>Sunday</v>
      </c>
    </row>
    <row r="229" spans="1:18">
      <c r="A229" s="5" t="s">
        <v>236</v>
      </c>
      <c r="B229" s="8">
        <v>46130</v>
      </c>
      <c r="C229" s="5" t="s">
        <v>978</v>
      </c>
      <c r="D229" s="5" t="s">
        <v>15</v>
      </c>
      <c r="E229" s="5" t="s">
        <v>982</v>
      </c>
      <c r="F229" s="5" t="s">
        <v>7</v>
      </c>
      <c r="G229" s="5">
        <v>8</v>
      </c>
      <c r="H229" s="5" t="s">
        <v>963</v>
      </c>
      <c r="I229" s="13">
        <v>507615965</v>
      </c>
      <c r="J229" s="10" t="s">
        <v>1212</v>
      </c>
      <c r="K229" t="str">
        <f>LEFT(C229,FIND(" ",C229)-1)&amp;"-"&amp;E229&amp;" "&amp;"Filialina çardırılma"</f>
        <v>Əli-Baki Filialina çardırılma</v>
      </c>
      <c r="L229">
        <f>VLOOKUP(D229,Anbar!$A$2:$B$5,2,FALSE)</f>
        <v>600</v>
      </c>
      <c r="M229">
        <f>VLOOKUP(D229,Anbar!$A$2:$C$5,3,FALSE)</f>
        <v>950</v>
      </c>
      <c r="N229">
        <f t="shared" si="6"/>
        <v>7600</v>
      </c>
      <c r="O229">
        <f t="shared" si="7"/>
        <v>2800</v>
      </c>
      <c r="P229" t="str">
        <f>IF(AND(F229="Nağd",G229&gt;5),M229*0.9,"0%")</f>
        <v>0%</v>
      </c>
      <c r="Q229" s="9" t="str">
        <f>IF(F229="Kredit",EOMONTH(B229,0),"")</f>
        <v/>
      </c>
      <c r="R229" s="17" t="str">
        <f>TEXT(B229,"dddd")</f>
        <v>Saturday</v>
      </c>
    </row>
    <row r="230" spans="1:18">
      <c r="A230" s="5" t="s">
        <v>237</v>
      </c>
      <c r="B230" s="8">
        <v>46108</v>
      </c>
      <c r="C230" s="5" t="s">
        <v>974</v>
      </c>
      <c r="D230" s="5" t="s">
        <v>971</v>
      </c>
      <c r="E230" s="5" t="s">
        <v>982</v>
      </c>
      <c r="F230" s="5" t="s">
        <v>965</v>
      </c>
      <c r="G230" s="5">
        <v>10</v>
      </c>
      <c r="H230" s="5" t="s">
        <v>963</v>
      </c>
      <c r="I230" s="13">
        <v>775846411</v>
      </c>
      <c r="J230" s="10" t="s">
        <v>1213</v>
      </c>
      <c r="K230" t="str">
        <f>LEFT(C230,FIND(" ",C230)-1)&amp;"-"&amp;E230&amp;" "&amp;"Filialina çardırılma"</f>
        <v>Ramil-Baki Filialina çardırılma</v>
      </c>
      <c r="L230">
        <f>VLOOKUP(D230,Anbar!$A$2:$B$5,2,FALSE)</f>
        <v>1200</v>
      </c>
      <c r="M230">
        <f>VLOOKUP(D230,Anbar!$A$2:$C$5,3,FALSE)</f>
        <v>1800</v>
      </c>
      <c r="N230">
        <f t="shared" si="6"/>
        <v>18000</v>
      </c>
      <c r="O230">
        <f t="shared" si="7"/>
        <v>6000</v>
      </c>
      <c r="P230">
        <f>IF(AND(F230="Nağd",G230&gt;5),M230*0.9,"0%")</f>
        <v>1620</v>
      </c>
      <c r="Q230" s="9" t="str">
        <f>IF(F230="Kredit",EOMONTH(B230,0),"")</f>
        <v/>
      </c>
      <c r="R230" s="17" t="str">
        <f>TEXT(B230,"dddd")</f>
        <v>Friday</v>
      </c>
    </row>
    <row r="231" spans="1:18">
      <c r="A231" s="5" t="s">
        <v>238</v>
      </c>
      <c r="B231" s="8">
        <v>46076</v>
      </c>
      <c r="C231" s="5" t="s">
        <v>6</v>
      </c>
      <c r="D231" s="5" t="s">
        <v>20</v>
      </c>
      <c r="E231" s="5" t="s">
        <v>966</v>
      </c>
      <c r="F231" s="5" t="s">
        <v>965</v>
      </c>
      <c r="G231" s="5">
        <v>8</v>
      </c>
      <c r="H231" s="5" t="s">
        <v>963</v>
      </c>
      <c r="I231" s="13">
        <v>776508422</v>
      </c>
      <c r="J231" s="10" t="s">
        <v>1214</v>
      </c>
      <c r="K231" t="str">
        <f>LEFT(C231,FIND(" ",C231)-1)&amp;"-"&amp;E231&amp;" "&amp;"Filialina çardırılma"</f>
        <v>Zaur-Bakı Filialina çardırılma</v>
      </c>
      <c r="L231">
        <f>VLOOKUP(D231,Anbar!$A$2:$B$5,2,FALSE)</f>
        <v>15</v>
      </c>
      <c r="M231">
        <f>VLOOKUP(D231,Anbar!$A$2:$C$5,3,FALSE)</f>
        <v>45</v>
      </c>
      <c r="N231">
        <f t="shared" si="6"/>
        <v>360</v>
      </c>
      <c r="O231">
        <f t="shared" si="7"/>
        <v>240</v>
      </c>
      <c r="P231">
        <f>IF(AND(F231="Nağd",G231&gt;5),M231*0.9,"0%")</f>
        <v>40.5</v>
      </c>
      <c r="Q231" s="9" t="str">
        <f>IF(F231="Kredit",EOMONTH(B231,0),"")</f>
        <v/>
      </c>
      <c r="R231" s="17" t="str">
        <f>TEXT(B231,"dddd")</f>
        <v>Monday</v>
      </c>
    </row>
    <row r="232" spans="1:18">
      <c r="A232" s="5" t="s">
        <v>239</v>
      </c>
      <c r="B232" s="8">
        <v>46131</v>
      </c>
      <c r="C232" s="5" t="s">
        <v>975</v>
      </c>
      <c r="D232" s="5" t="s">
        <v>20</v>
      </c>
      <c r="E232" s="5" t="s">
        <v>981</v>
      </c>
      <c r="F232" s="5" t="s">
        <v>965</v>
      </c>
      <c r="G232" s="5">
        <v>1</v>
      </c>
      <c r="H232" s="5" t="s">
        <v>963</v>
      </c>
      <c r="I232" s="13">
        <v>773692046</v>
      </c>
      <c r="J232" s="10" t="s">
        <v>1215</v>
      </c>
      <c r="K232" t="str">
        <f>LEFT(C232,FIND(" ",C232)-1)&amp;"-"&amp;E232&amp;" "&amp;"Filialina çardırılma"</f>
        <v>Murad-Gəncə Filialina çardırılma</v>
      </c>
      <c r="L232">
        <f>VLOOKUP(D232,Anbar!$A$2:$B$5,2,FALSE)</f>
        <v>15</v>
      </c>
      <c r="M232">
        <f>VLOOKUP(D232,Anbar!$A$2:$C$5,3,FALSE)</f>
        <v>45</v>
      </c>
      <c r="N232">
        <f t="shared" si="6"/>
        <v>45</v>
      </c>
      <c r="O232">
        <f t="shared" si="7"/>
        <v>30</v>
      </c>
      <c r="P232" t="str">
        <f>IF(AND(F232="Nağd",G232&gt;5),M232*0.9,"0%")</f>
        <v>0%</v>
      </c>
      <c r="Q232" s="9" t="str">
        <f>IF(F232="Kredit",EOMONTH(B232,0),"")</f>
        <v/>
      </c>
      <c r="R232" s="17" t="str">
        <f>TEXT(B232,"dddd")</f>
        <v>Sunday</v>
      </c>
    </row>
    <row r="233" spans="1:18">
      <c r="A233" s="5" t="s">
        <v>240</v>
      </c>
      <c r="B233" s="8">
        <v>46155</v>
      </c>
      <c r="C233" s="5" t="s">
        <v>975</v>
      </c>
      <c r="D233" s="5" t="s">
        <v>20</v>
      </c>
      <c r="E233" s="5" t="s">
        <v>982</v>
      </c>
      <c r="F233" s="5" t="s">
        <v>965</v>
      </c>
      <c r="G233" s="5">
        <v>5</v>
      </c>
      <c r="H233" s="5" t="s">
        <v>963</v>
      </c>
      <c r="I233" s="13">
        <v>511032153</v>
      </c>
      <c r="J233" s="10" t="s">
        <v>1216</v>
      </c>
      <c r="K233" t="str">
        <f>LEFT(C233,FIND(" ",C233)-1)&amp;"-"&amp;E233&amp;" "&amp;"Filialina çardırılma"</f>
        <v>Murad-Baki Filialina çardırılma</v>
      </c>
      <c r="L233">
        <f>VLOOKUP(D233,Anbar!$A$2:$B$5,2,FALSE)</f>
        <v>15</v>
      </c>
      <c r="M233">
        <f>VLOOKUP(D233,Anbar!$A$2:$C$5,3,FALSE)</f>
        <v>45</v>
      </c>
      <c r="N233">
        <f t="shared" si="6"/>
        <v>225</v>
      </c>
      <c r="O233">
        <f t="shared" si="7"/>
        <v>150</v>
      </c>
      <c r="P233" t="str">
        <f>IF(AND(F233="Nağd",G233&gt;5),M233*0.9,"0%")</f>
        <v>0%</v>
      </c>
      <c r="Q233" s="9" t="str">
        <f>IF(F233="Kredit",EOMONTH(B233,0),"")</f>
        <v/>
      </c>
      <c r="R233" s="17" t="str">
        <f>TEXT(B233,"dddd")</f>
        <v>Wednesday</v>
      </c>
    </row>
    <row r="234" spans="1:18">
      <c r="A234" s="5" t="s">
        <v>241</v>
      </c>
      <c r="B234" s="8">
        <v>46065</v>
      </c>
      <c r="C234" s="5" t="s">
        <v>967</v>
      </c>
      <c r="D234" s="5" t="s">
        <v>971</v>
      </c>
      <c r="E234" s="5" t="s">
        <v>9</v>
      </c>
      <c r="F234" s="5" t="s">
        <v>7</v>
      </c>
      <c r="G234" s="5">
        <v>8</v>
      </c>
      <c r="H234" s="5" t="s">
        <v>963</v>
      </c>
      <c r="I234" s="13">
        <v>557297373</v>
      </c>
      <c r="J234" s="10" t="s">
        <v>1217</v>
      </c>
      <c r="K234" t="str">
        <f>LEFT(C234,FIND(" ",C234)-1)&amp;"-"&amp;E234&amp;" "&amp;"Filialina çardırılma"</f>
        <v>Aysel-Gence Filialina çardırılma</v>
      </c>
      <c r="L234">
        <f>VLOOKUP(D234,Anbar!$A$2:$B$5,2,FALSE)</f>
        <v>1200</v>
      </c>
      <c r="M234">
        <f>VLOOKUP(D234,Anbar!$A$2:$C$5,3,FALSE)</f>
        <v>1800</v>
      </c>
      <c r="N234">
        <f t="shared" si="6"/>
        <v>14400</v>
      </c>
      <c r="O234">
        <f t="shared" si="7"/>
        <v>4800</v>
      </c>
      <c r="P234" t="str">
        <f>IF(AND(F234="Nağd",G234&gt;5),M234*0.9,"0%")</f>
        <v>0%</v>
      </c>
      <c r="Q234" s="9" t="str">
        <f>IF(F234="Kredit",EOMONTH(B234,0),"")</f>
        <v/>
      </c>
      <c r="R234" s="17" t="str">
        <f>TEXT(B234,"dddd")</f>
        <v>Thursday</v>
      </c>
    </row>
    <row r="235" spans="1:18">
      <c r="A235" s="5" t="s">
        <v>242</v>
      </c>
      <c r="B235" s="8">
        <v>46063</v>
      </c>
      <c r="C235" s="5" t="s">
        <v>975</v>
      </c>
      <c r="D235" s="5" t="s">
        <v>15</v>
      </c>
      <c r="E235" s="5" t="s">
        <v>982</v>
      </c>
      <c r="F235" s="5" t="s">
        <v>4</v>
      </c>
      <c r="G235" s="5">
        <v>6</v>
      </c>
      <c r="H235" s="5" t="s">
        <v>963</v>
      </c>
      <c r="I235" s="13">
        <v>507502099</v>
      </c>
      <c r="J235" s="10" t="s">
        <v>1218</v>
      </c>
      <c r="K235" t="str">
        <f>LEFT(C235,FIND(" ",C235)-1)&amp;"-"&amp;E235&amp;" "&amp;"Filialina çardırılma"</f>
        <v>Murad-Baki Filialina çardırılma</v>
      </c>
      <c r="L235">
        <f>VLOOKUP(D235,Anbar!$A$2:$B$5,2,FALSE)</f>
        <v>600</v>
      </c>
      <c r="M235">
        <f>VLOOKUP(D235,Anbar!$A$2:$C$5,3,FALSE)</f>
        <v>950</v>
      </c>
      <c r="N235">
        <f t="shared" si="6"/>
        <v>5700</v>
      </c>
      <c r="O235">
        <f t="shared" si="7"/>
        <v>2100</v>
      </c>
      <c r="P235" t="str">
        <f>IF(AND(F235="Nağd",G235&gt;5),M235*0.9,"0%")</f>
        <v>0%</v>
      </c>
      <c r="Q235" s="9">
        <f>IF(F235="Kredit",EOMONTH(B235,0),"")</f>
        <v>46081</v>
      </c>
      <c r="R235" s="17" t="str">
        <f>TEXT(B235,"dddd")</f>
        <v>Tuesday</v>
      </c>
    </row>
    <row r="236" spans="1:18">
      <c r="A236" s="5" t="s">
        <v>243</v>
      </c>
      <c r="B236" s="8">
        <v>46075</v>
      </c>
      <c r="C236" s="5" t="s">
        <v>979</v>
      </c>
      <c r="D236" s="5" t="s">
        <v>15</v>
      </c>
      <c r="E236" s="5" t="s">
        <v>981</v>
      </c>
      <c r="F236" s="5" t="s">
        <v>4</v>
      </c>
      <c r="G236" s="5">
        <v>7</v>
      </c>
      <c r="H236" s="5" t="s">
        <v>963</v>
      </c>
      <c r="I236" s="13">
        <v>502053927</v>
      </c>
      <c r="J236" s="10" t="s">
        <v>1219</v>
      </c>
      <c r="K236" t="str">
        <f>LEFT(C236,FIND(" ",C236)-1)&amp;"-"&amp;E236&amp;" "&amp;"Filialina çardırılma"</f>
        <v>Leyla-Gəncə Filialina çardırılma</v>
      </c>
      <c r="L236">
        <f>VLOOKUP(D236,Anbar!$A$2:$B$5,2,FALSE)</f>
        <v>600</v>
      </c>
      <c r="M236">
        <f>VLOOKUP(D236,Anbar!$A$2:$C$5,3,FALSE)</f>
        <v>950</v>
      </c>
      <c r="N236">
        <f t="shared" si="6"/>
        <v>6650</v>
      </c>
      <c r="O236">
        <f t="shared" si="7"/>
        <v>2450</v>
      </c>
      <c r="P236" t="str">
        <f>IF(AND(F236="Nağd",G236&gt;5),M236*0.9,"0%")</f>
        <v>0%</v>
      </c>
      <c r="Q236" s="9">
        <f>IF(F236="Kredit",EOMONTH(B236,0),"")</f>
        <v>46081</v>
      </c>
      <c r="R236" s="17" t="str">
        <f>TEXT(B236,"dddd")</f>
        <v>Sunday</v>
      </c>
    </row>
    <row r="237" spans="1:18">
      <c r="A237" s="5" t="s">
        <v>244</v>
      </c>
      <c r="B237" s="8">
        <v>46169</v>
      </c>
      <c r="C237" s="5" t="s">
        <v>6</v>
      </c>
      <c r="D237" s="5" t="s">
        <v>968</v>
      </c>
      <c r="E237" s="5" t="s">
        <v>982</v>
      </c>
      <c r="F237" s="5" t="s">
        <v>7</v>
      </c>
      <c r="G237" s="5">
        <v>5</v>
      </c>
      <c r="H237" s="5" t="s">
        <v>963</v>
      </c>
      <c r="I237" s="13">
        <v>509059427</v>
      </c>
      <c r="J237" s="10" t="s">
        <v>1220</v>
      </c>
      <c r="K237" t="str">
        <f>LEFT(C237,FIND(" ",C237)-1)&amp;"-"&amp;E237&amp;" "&amp;"Filialina çardırılma"</f>
        <v>Zaur-Baki Filialina çardırılma</v>
      </c>
      <c r="L237">
        <f>VLOOKUP(D237,Anbar!$A$2:$B$5,2,FALSE)</f>
        <v>400</v>
      </c>
      <c r="M237">
        <f>VLOOKUP(D237,Anbar!$A$2:$C$5,3,FALSE)</f>
        <v>650</v>
      </c>
      <c r="N237">
        <f t="shared" si="6"/>
        <v>3250</v>
      </c>
      <c r="O237">
        <f t="shared" si="7"/>
        <v>1250</v>
      </c>
      <c r="P237" t="str">
        <f>IF(AND(F237="Nağd",G237&gt;5),M237*0.9,"0%")</f>
        <v>0%</v>
      </c>
      <c r="Q237" s="9" t="str">
        <f>IF(F237="Kredit",EOMONTH(B237,0),"")</f>
        <v/>
      </c>
      <c r="R237" s="17" t="str">
        <f>TEXT(B237,"dddd")</f>
        <v>Wednesday</v>
      </c>
    </row>
    <row r="238" spans="1:18">
      <c r="A238" s="5" t="s">
        <v>245</v>
      </c>
      <c r="B238" s="8">
        <v>46178</v>
      </c>
      <c r="C238" s="5" t="s">
        <v>967</v>
      </c>
      <c r="D238" s="5" t="s">
        <v>20</v>
      </c>
      <c r="E238" s="5" t="s">
        <v>966</v>
      </c>
      <c r="F238" s="5" t="s">
        <v>4</v>
      </c>
      <c r="G238" s="5">
        <v>6</v>
      </c>
      <c r="H238" s="5" t="s">
        <v>963</v>
      </c>
      <c r="I238" s="13">
        <v>552992748</v>
      </c>
      <c r="J238" s="10" t="s">
        <v>1221</v>
      </c>
      <c r="K238" t="str">
        <f>LEFT(C238,FIND(" ",C238)-1)&amp;"-"&amp;E238&amp;" "&amp;"Filialina çardırılma"</f>
        <v>Aysel-Bakı Filialina çardırılma</v>
      </c>
      <c r="L238">
        <f>VLOOKUP(D238,Anbar!$A$2:$B$5,2,FALSE)</f>
        <v>15</v>
      </c>
      <c r="M238">
        <f>VLOOKUP(D238,Anbar!$A$2:$C$5,3,FALSE)</f>
        <v>45</v>
      </c>
      <c r="N238">
        <f t="shared" si="6"/>
        <v>270</v>
      </c>
      <c r="O238">
        <f t="shared" si="7"/>
        <v>180</v>
      </c>
      <c r="P238" t="str">
        <f>IF(AND(F238="Nağd",G238&gt;5),M238*0.9,"0%")</f>
        <v>0%</v>
      </c>
      <c r="Q238" s="9">
        <f>IF(F238="Kredit",EOMONTH(B238,0),"")</f>
        <v>46203</v>
      </c>
      <c r="R238" s="17" t="str">
        <f>TEXT(B238,"dddd")</f>
        <v>Friday</v>
      </c>
    </row>
    <row r="239" spans="1:18">
      <c r="A239" s="5" t="s">
        <v>246</v>
      </c>
      <c r="B239" s="8">
        <v>46088</v>
      </c>
      <c r="C239" s="5" t="s">
        <v>974</v>
      </c>
      <c r="D239" s="5" t="s">
        <v>968</v>
      </c>
      <c r="E239" s="5" t="s">
        <v>964</v>
      </c>
      <c r="F239" s="5" t="s">
        <v>965</v>
      </c>
      <c r="G239" s="5">
        <v>4</v>
      </c>
      <c r="H239" s="5" t="s">
        <v>963</v>
      </c>
      <c r="I239" s="13">
        <v>771886140</v>
      </c>
      <c r="J239" s="10" t="s">
        <v>1222</v>
      </c>
      <c r="K239" t="str">
        <f>LEFT(C239,FIND(" ",C239)-1)&amp;"-"&amp;E239&amp;" "&amp;"Filialina çardırılma"</f>
        <v>Ramil-Sumqayıt Filialina çardırılma</v>
      </c>
      <c r="L239">
        <f>VLOOKUP(D239,Anbar!$A$2:$B$5,2,FALSE)</f>
        <v>400</v>
      </c>
      <c r="M239">
        <f>VLOOKUP(D239,Anbar!$A$2:$C$5,3,FALSE)</f>
        <v>650</v>
      </c>
      <c r="N239">
        <f t="shared" si="6"/>
        <v>2600</v>
      </c>
      <c r="O239">
        <f t="shared" si="7"/>
        <v>1000</v>
      </c>
      <c r="P239" t="str">
        <f>IF(AND(F239="Nağd",G239&gt;5),M239*0.9,"0%")</f>
        <v>0%</v>
      </c>
      <c r="Q239" s="9" t="str">
        <f>IF(F239="Kredit",EOMONTH(B239,0),"")</f>
        <v/>
      </c>
      <c r="R239" s="17" t="str">
        <f>TEXT(B239,"dddd")</f>
        <v>Saturday</v>
      </c>
    </row>
    <row r="240" spans="1:18">
      <c r="A240" s="5" t="s">
        <v>247</v>
      </c>
      <c r="B240" s="8">
        <v>46076</v>
      </c>
      <c r="C240" s="5" t="s">
        <v>979</v>
      </c>
      <c r="D240" s="5" t="s">
        <v>20</v>
      </c>
      <c r="E240" s="5" t="s">
        <v>964</v>
      </c>
      <c r="F240" s="5" t="s">
        <v>4</v>
      </c>
      <c r="G240" s="5">
        <v>10</v>
      </c>
      <c r="H240" s="5" t="s">
        <v>963</v>
      </c>
      <c r="I240" s="13">
        <v>559521480</v>
      </c>
      <c r="J240" s="10" t="s">
        <v>1223</v>
      </c>
      <c r="K240" t="str">
        <f>LEFT(C240,FIND(" ",C240)-1)&amp;"-"&amp;E240&amp;" "&amp;"Filialina çardırılma"</f>
        <v>Leyla-Sumqayıt Filialina çardırılma</v>
      </c>
      <c r="L240">
        <f>VLOOKUP(D240,Anbar!$A$2:$B$5,2,FALSE)</f>
        <v>15</v>
      </c>
      <c r="M240">
        <f>VLOOKUP(D240,Anbar!$A$2:$C$5,3,FALSE)</f>
        <v>45</v>
      </c>
      <c r="N240">
        <f t="shared" si="6"/>
        <v>450</v>
      </c>
      <c r="O240">
        <f t="shared" si="7"/>
        <v>300</v>
      </c>
      <c r="P240" t="str">
        <f>IF(AND(F240="Nağd",G240&gt;5),M240*0.9,"0%")</f>
        <v>0%</v>
      </c>
      <c r="Q240" s="9">
        <f>IF(F240="Kredit",EOMONTH(B240,0),"")</f>
        <v>46081</v>
      </c>
      <c r="R240" s="17" t="str">
        <f>TEXT(B240,"dddd")</f>
        <v>Monday</v>
      </c>
    </row>
    <row r="241" spans="1:18">
      <c r="A241" s="5" t="s">
        <v>248</v>
      </c>
      <c r="B241" s="8">
        <v>46071</v>
      </c>
      <c r="C241" s="5" t="s">
        <v>974</v>
      </c>
      <c r="D241" s="5" t="s">
        <v>968</v>
      </c>
      <c r="E241" s="5" t="s">
        <v>980</v>
      </c>
      <c r="F241" s="5" t="s">
        <v>983</v>
      </c>
      <c r="G241" s="5">
        <v>3</v>
      </c>
      <c r="H241" s="5" t="s">
        <v>963</v>
      </c>
      <c r="I241" s="13">
        <v>706911457</v>
      </c>
      <c r="J241" s="10" t="s">
        <v>1224</v>
      </c>
      <c r="K241" t="str">
        <f>LEFT(C241,FIND(" ",C241)-1)&amp;"-"&amp;E241&amp;" "&amp;"Filialina çardırılma"</f>
        <v>Ramil-Sumqayit Filialina çardırılma</v>
      </c>
      <c r="L241">
        <f>VLOOKUP(D241,Anbar!$A$2:$B$5,2,FALSE)</f>
        <v>400</v>
      </c>
      <c r="M241">
        <f>VLOOKUP(D241,Anbar!$A$2:$C$5,3,FALSE)</f>
        <v>650</v>
      </c>
      <c r="N241">
        <f t="shared" si="6"/>
        <v>1950</v>
      </c>
      <c r="O241">
        <f t="shared" si="7"/>
        <v>750</v>
      </c>
      <c r="P241" t="str">
        <f>IF(AND(F241="Nağd",G241&gt;5),M241*0.9,"0%")</f>
        <v>0%</v>
      </c>
      <c r="Q241" s="9" t="str">
        <f>IF(F241="Kredit",EOMONTH(B241,0),"")</f>
        <v/>
      </c>
      <c r="R241" s="17" t="str">
        <f>TEXT(B241,"dddd")</f>
        <v>Wednesday</v>
      </c>
    </row>
    <row r="242" spans="1:18">
      <c r="A242" s="5" t="s">
        <v>249</v>
      </c>
      <c r="B242" s="8">
        <v>46151</v>
      </c>
      <c r="C242" s="5" t="s">
        <v>975</v>
      </c>
      <c r="D242" s="5" t="s">
        <v>968</v>
      </c>
      <c r="E242" s="5" t="s">
        <v>9</v>
      </c>
      <c r="F242" s="5" t="s">
        <v>7</v>
      </c>
      <c r="G242" s="5">
        <v>10</v>
      </c>
      <c r="H242" s="5" t="s">
        <v>963</v>
      </c>
      <c r="I242" s="13">
        <v>774879826</v>
      </c>
      <c r="J242" s="10" t="s">
        <v>1225</v>
      </c>
      <c r="K242" t="str">
        <f>LEFT(C242,FIND(" ",C242)-1)&amp;"-"&amp;E242&amp;" "&amp;"Filialina çardırılma"</f>
        <v>Murad-Gence Filialina çardırılma</v>
      </c>
      <c r="L242">
        <f>VLOOKUP(D242,Anbar!$A$2:$B$5,2,FALSE)</f>
        <v>400</v>
      </c>
      <c r="M242">
        <f>VLOOKUP(D242,Anbar!$A$2:$C$5,3,FALSE)</f>
        <v>650</v>
      </c>
      <c r="N242">
        <f t="shared" si="6"/>
        <v>6500</v>
      </c>
      <c r="O242">
        <f t="shared" si="7"/>
        <v>2500</v>
      </c>
      <c r="P242" t="str">
        <f>IF(AND(F242="Nağd",G242&gt;5),M242*0.9,"0%")</f>
        <v>0%</v>
      </c>
      <c r="Q242" s="9" t="str">
        <f>IF(F242="Kredit",EOMONTH(B242,0),"")</f>
        <v/>
      </c>
      <c r="R242" s="17" t="str">
        <f>TEXT(B242,"dddd")</f>
        <v>Saturday</v>
      </c>
    </row>
    <row r="243" spans="1:18">
      <c r="A243" s="5" t="s">
        <v>250</v>
      </c>
      <c r="B243" s="8">
        <v>46111</v>
      </c>
      <c r="C243" s="5" t="s">
        <v>975</v>
      </c>
      <c r="D243" s="5" t="s">
        <v>20</v>
      </c>
      <c r="E243" s="5" t="s">
        <v>966</v>
      </c>
      <c r="F243" s="5" t="s">
        <v>4</v>
      </c>
      <c r="G243" s="5">
        <v>10</v>
      </c>
      <c r="H243" s="5" t="s">
        <v>963</v>
      </c>
      <c r="I243" s="13">
        <v>554375693</v>
      </c>
      <c r="J243" s="10" t="s">
        <v>1226</v>
      </c>
      <c r="K243" t="str">
        <f>LEFT(C243,FIND(" ",C243)-1)&amp;"-"&amp;E243&amp;" "&amp;"Filialina çardırılma"</f>
        <v>Murad-Bakı Filialina çardırılma</v>
      </c>
      <c r="L243">
        <f>VLOOKUP(D243,Anbar!$A$2:$B$5,2,FALSE)</f>
        <v>15</v>
      </c>
      <c r="M243">
        <f>VLOOKUP(D243,Anbar!$A$2:$C$5,3,FALSE)</f>
        <v>45</v>
      </c>
      <c r="N243">
        <f t="shared" si="6"/>
        <v>450</v>
      </c>
      <c r="O243">
        <f t="shared" si="7"/>
        <v>300</v>
      </c>
      <c r="P243" t="str">
        <f>IF(AND(F243="Nağd",G243&gt;5),M243*0.9,"0%")</f>
        <v>0%</v>
      </c>
      <c r="Q243" s="9">
        <f>IF(F243="Kredit",EOMONTH(B243,0),"")</f>
        <v>46112</v>
      </c>
      <c r="R243" s="17" t="str">
        <f>TEXT(B243,"dddd")</f>
        <v>Monday</v>
      </c>
    </row>
    <row r="244" spans="1:18">
      <c r="A244" s="5" t="s">
        <v>251</v>
      </c>
      <c r="B244" s="8">
        <v>46174</v>
      </c>
      <c r="C244" s="5" t="s">
        <v>977</v>
      </c>
      <c r="D244" s="5" t="s">
        <v>971</v>
      </c>
      <c r="E244" s="5" t="s">
        <v>982</v>
      </c>
      <c r="F244" s="5" t="s">
        <v>965</v>
      </c>
      <c r="G244" s="5">
        <v>4</v>
      </c>
      <c r="H244" s="5" t="s">
        <v>963</v>
      </c>
      <c r="I244" s="13">
        <v>706616853</v>
      </c>
      <c r="J244" s="10" t="s">
        <v>1227</v>
      </c>
      <c r="K244" t="str">
        <f>LEFT(C244,FIND(" ",C244)-1)&amp;"-"&amp;E244&amp;" "&amp;"Filialina çardırılma"</f>
        <v>Elnur-Baki Filialina çardırılma</v>
      </c>
      <c r="L244">
        <f>VLOOKUP(D244,Anbar!$A$2:$B$5,2,FALSE)</f>
        <v>1200</v>
      </c>
      <c r="M244">
        <f>VLOOKUP(D244,Anbar!$A$2:$C$5,3,FALSE)</f>
        <v>1800</v>
      </c>
      <c r="N244">
        <f t="shared" si="6"/>
        <v>7200</v>
      </c>
      <c r="O244">
        <f t="shared" si="7"/>
        <v>2400</v>
      </c>
      <c r="P244" t="str">
        <f>IF(AND(F244="Nağd",G244&gt;5),M244*0.9,"0%")</f>
        <v>0%</v>
      </c>
      <c r="Q244" s="9" t="str">
        <f>IF(F244="Kredit",EOMONTH(B244,0),"")</f>
        <v/>
      </c>
      <c r="R244" s="17" t="str">
        <f>TEXT(B244,"dddd")</f>
        <v>Monday</v>
      </c>
    </row>
    <row r="245" spans="1:18">
      <c r="A245" s="5" t="s">
        <v>252</v>
      </c>
      <c r="B245" s="8">
        <v>46054</v>
      </c>
      <c r="C245" s="5" t="s">
        <v>978</v>
      </c>
      <c r="D245" s="5" t="s">
        <v>15</v>
      </c>
      <c r="E245" s="5" t="s">
        <v>980</v>
      </c>
      <c r="F245" s="5" t="s">
        <v>965</v>
      </c>
      <c r="G245" s="5">
        <v>3</v>
      </c>
      <c r="H245" s="5" t="s">
        <v>963</v>
      </c>
      <c r="I245" s="13">
        <v>773935759</v>
      </c>
      <c r="J245" s="10" t="s">
        <v>1228</v>
      </c>
      <c r="K245" t="str">
        <f>LEFT(C245,FIND(" ",C245)-1)&amp;"-"&amp;E245&amp;" "&amp;"Filialina çardırılma"</f>
        <v>Əli-Sumqayit Filialina çardırılma</v>
      </c>
      <c r="L245">
        <f>VLOOKUP(D245,Anbar!$A$2:$B$5,2,FALSE)</f>
        <v>600</v>
      </c>
      <c r="M245">
        <f>VLOOKUP(D245,Anbar!$A$2:$C$5,3,FALSE)</f>
        <v>950</v>
      </c>
      <c r="N245">
        <f t="shared" si="6"/>
        <v>2850</v>
      </c>
      <c r="O245">
        <f t="shared" si="7"/>
        <v>1050</v>
      </c>
      <c r="P245" t="str">
        <f>IF(AND(F245="Nağd",G245&gt;5),M245*0.9,"0%")</f>
        <v>0%</v>
      </c>
      <c r="Q245" s="9" t="str">
        <f>IF(F245="Kredit",EOMONTH(B245,0),"")</f>
        <v/>
      </c>
      <c r="R245" s="17" t="str">
        <f>TEXT(B245,"dddd")</f>
        <v>Sunday</v>
      </c>
    </row>
    <row r="246" spans="1:18">
      <c r="A246" s="5" t="s">
        <v>253</v>
      </c>
      <c r="B246" s="8">
        <v>46077</v>
      </c>
      <c r="C246" s="5" t="s">
        <v>967</v>
      </c>
      <c r="D246" s="5" t="s">
        <v>968</v>
      </c>
      <c r="E246" s="5" t="s">
        <v>983</v>
      </c>
      <c r="F246" s="5" t="s">
        <v>4</v>
      </c>
      <c r="G246" s="5">
        <v>3</v>
      </c>
      <c r="H246" s="5" t="s">
        <v>963</v>
      </c>
      <c r="I246" s="13">
        <v>555334204</v>
      </c>
      <c r="J246" s="10" t="s">
        <v>1229</v>
      </c>
      <c r="K246" t="str">
        <f>LEFT(C246,FIND(" ",C246)-1)&amp;"-"&amp;E246&amp;" "&amp;"Filialina çardırılma"</f>
        <v>Aysel-Naməlum Filialina çardırılma</v>
      </c>
      <c r="L246">
        <f>VLOOKUP(D246,Anbar!$A$2:$B$5,2,FALSE)</f>
        <v>400</v>
      </c>
      <c r="M246">
        <f>VLOOKUP(D246,Anbar!$A$2:$C$5,3,FALSE)</f>
        <v>650</v>
      </c>
      <c r="N246">
        <f t="shared" si="6"/>
        <v>1950</v>
      </c>
      <c r="O246">
        <f t="shared" si="7"/>
        <v>750</v>
      </c>
      <c r="P246" t="str">
        <f>IF(AND(F246="Nağd",G246&gt;5),M246*0.9,"0%")</f>
        <v>0%</v>
      </c>
      <c r="Q246" s="9">
        <f>IF(F246="Kredit",EOMONTH(B246,0),"")</f>
        <v>46081</v>
      </c>
      <c r="R246" s="17" t="str">
        <f>TEXT(B246,"dddd")</f>
        <v>Tuesday</v>
      </c>
    </row>
    <row r="247" spans="1:18">
      <c r="A247" s="5" t="s">
        <v>254</v>
      </c>
      <c r="B247" s="8">
        <v>46130</v>
      </c>
      <c r="C247" s="5" t="s">
        <v>967</v>
      </c>
      <c r="D247" s="5" t="s">
        <v>971</v>
      </c>
      <c r="E247" s="5" t="s">
        <v>966</v>
      </c>
      <c r="F247" s="5" t="s">
        <v>965</v>
      </c>
      <c r="G247" s="5">
        <v>7</v>
      </c>
      <c r="H247" s="5" t="s">
        <v>963</v>
      </c>
      <c r="I247" s="13">
        <v>501913569</v>
      </c>
      <c r="J247" s="10" t="s">
        <v>1230</v>
      </c>
      <c r="K247" t="str">
        <f>LEFT(C247,FIND(" ",C247)-1)&amp;"-"&amp;E247&amp;" "&amp;"Filialina çardırılma"</f>
        <v>Aysel-Bakı Filialina çardırılma</v>
      </c>
      <c r="L247">
        <f>VLOOKUP(D247,Anbar!$A$2:$B$5,2,FALSE)</f>
        <v>1200</v>
      </c>
      <c r="M247">
        <f>VLOOKUP(D247,Anbar!$A$2:$C$5,3,FALSE)</f>
        <v>1800</v>
      </c>
      <c r="N247">
        <f t="shared" si="6"/>
        <v>12600</v>
      </c>
      <c r="O247">
        <f t="shared" si="7"/>
        <v>4200</v>
      </c>
      <c r="P247">
        <f>IF(AND(F247="Nağd",G247&gt;5),M247*0.9,"0%")</f>
        <v>1620</v>
      </c>
      <c r="Q247" s="9" t="str">
        <f>IF(F247="Kredit",EOMONTH(B247,0),"")</f>
        <v/>
      </c>
      <c r="R247" s="17" t="str">
        <f>TEXT(B247,"dddd")</f>
        <v>Saturday</v>
      </c>
    </row>
    <row r="248" spans="1:18">
      <c r="A248" s="5" t="s">
        <v>255</v>
      </c>
      <c r="B248" s="8">
        <v>46086</v>
      </c>
      <c r="C248" s="5" t="s">
        <v>967</v>
      </c>
      <c r="D248" s="5" t="s">
        <v>20</v>
      </c>
      <c r="E248" s="5" t="s">
        <v>981</v>
      </c>
      <c r="F248" s="5" t="s">
        <v>4</v>
      </c>
      <c r="G248" s="5">
        <v>7</v>
      </c>
      <c r="H248" s="5" t="s">
        <v>963</v>
      </c>
      <c r="I248" s="13">
        <v>505194824</v>
      </c>
      <c r="J248" s="10" t="s">
        <v>1231</v>
      </c>
      <c r="K248" t="str">
        <f>LEFT(C248,FIND(" ",C248)-1)&amp;"-"&amp;E248&amp;" "&amp;"Filialina çardırılma"</f>
        <v>Aysel-Gəncə Filialina çardırılma</v>
      </c>
      <c r="L248">
        <f>VLOOKUP(D248,Anbar!$A$2:$B$5,2,FALSE)</f>
        <v>15</v>
      </c>
      <c r="M248">
        <f>VLOOKUP(D248,Anbar!$A$2:$C$5,3,FALSE)</f>
        <v>45</v>
      </c>
      <c r="N248">
        <f t="shared" si="6"/>
        <v>315</v>
      </c>
      <c r="O248">
        <f t="shared" si="7"/>
        <v>210</v>
      </c>
      <c r="P248" t="str">
        <f>IF(AND(F248="Nağd",G248&gt;5),M248*0.9,"0%")</f>
        <v>0%</v>
      </c>
      <c r="Q248" s="9">
        <f>IF(F248="Kredit",EOMONTH(B248,0),"")</f>
        <v>46112</v>
      </c>
      <c r="R248" s="17" t="str">
        <f>TEXT(B248,"dddd")</f>
        <v>Thursday</v>
      </c>
    </row>
    <row r="249" spans="1:18">
      <c r="A249" s="5" t="s">
        <v>256</v>
      </c>
      <c r="B249" s="8">
        <v>46088</v>
      </c>
      <c r="C249" s="5" t="s">
        <v>978</v>
      </c>
      <c r="D249" s="5" t="s">
        <v>15</v>
      </c>
      <c r="E249" s="5" t="s">
        <v>9</v>
      </c>
      <c r="F249" s="5" t="s">
        <v>4</v>
      </c>
      <c r="G249" s="5">
        <v>2</v>
      </c>
      <c r="H249" s="5" t="s">
        <v>963</v>
      </c>
      <c r="I249" s="13">
        <v>703583278</v>
      </c>
      <c r="J249" s="10" t="s">
        <v>1232</v>
      </c>
      <c r="K249" t="str">
        <f>LEFT(C249,FIND(" ",C249)-1)&amp;"-"&amp;E249&amp;" "&amp;"Filialina çardırılma"</f>
        <v>Əli-Gence Filialina çardırılma</v>
      </c>
      <c r="L249">
        <f>VLOOKUP(D249,Anbar!$A$2:$B$5,2,FALSE)</f>
        <v>600</v>
      </c>
      <c r="M249">
        <f>VLOOKUP(D249,Anbar!$A$2:$C$5,3,FALSE)</f>
        <v>950</v>
      </c>
      <c r="N249">
        <f t="shared" si="6"/>
        <v>1900</v>
      </c>
      <c r="O249">
        <f t="shared" si="7"/>
        <v>700</v>
      </c>
      <c r="P249" t="str">
        <f>IF(AND(F249="Nağd",G249&gt;5),M249*0.9,"0%")</f>
        <v>0%</v>
      </c>
      <c r="Q249" s="9">
        <f>IF(F249="Kredit",EOMONTH(B249,0),"")</f>
        <v>46112</v>
      </c>
      <c r="R249" s="17" t="str">
        <f>TEXT(B249,"dddd")</f>
        <v>Saturday</v>
      </c>
    </row>
    <row r="250" spans="1:18">
      <c r="A250" s="5" t="s">
        <v>257</v>
      </c>
      <c r="B250" s="8">
        <v>46067</v>
      </c>
      <c r="C250" s="5" t="s">
        <v>977</v>
      </c>
      <c r="D250" s="5" t="s">
        <v>971</v>
      </c>
      <c r="E250" s="5" t="s">
        <v>981</v>
      </c>
      <c r="F250" s="5" t="s">
        <v>7</v>
      </c>
      <c r="G250" s="5">
        <v>3</v>
      </c>
      <c r="H250" s="5" t="s">
        <v>963</v>
      </c>
      <c r="I250" s="13">
        <v>504388206</v>
      </c>
      <c r="J250" s="10" t="s">
        <v>1233</v>
      </c>
      <c r="K250" t="str">
        <f>LEFT(C250,FIND(" ",C250)-1)&amp;"-"&amp;E250&amp;" "&amp;"Filialina çardırılma"</f>
        <v>Elnur-Gəncə Filialina çardırılma</v>
      </c>
      <c r="L250">
        <f>VLOOKUP(D250,Anbar!$A$2:$B$5,2,FALSE)</f>
        <v>1200</v>
      </c>
      <c r="M250">
        <f>VLOOKUP(D250,Anbar!$A$2:$C$5,3,FALSE)</f>
        <v>1800</v>
      </c>
      <c r="N250">
        <f t="shared" si="6"/>
        <v>5400</v>
      </c>
      <c r="O250">
        <f t="shared" si="7"/>
        <v>1800</v>
      </c>
      <c r="P250" t="str">
        <f>IF(AND(F250="Nağd",G250&gt;5),M250*0.9,"0%")</f>
        <v>0%</v>
      </c>
      <c r="Q250" s="9" t="str">
        <f>IF(F250="Kredit",EOMONTH(B250,0),"")</f>
        <v/>
      </c>
      <c r="R250" s="17" t="str">
        <f>TEXT(B250,"dddd")</f>
        <v>Saturday</v>
      </c>
    </row>
    <row r="251" spans="1:18">
      <c r="A251" s="5" t="s">
        <v>258</v>
      </c>
      <c r="B251" s="8">
        <v>46103</v>
      </c>
      <c r="C251" s="5" t="s">
        <v>976</v>
      </c>
      <c r="D251" s="5" t="s">
        <v>20</v>
      </c>
      <c r="E251" s="5" t="s">
        <v>9</v>
      </c>
      <c r="F251" s="5" t="s">
        <v>965</v>
      </c>
      <c r="G251" s="5">
        <v>3</v>
      </c>
      <c r="H251" s="5" t="s">
        <v>963</v>
      </c>
      <c r="I251" s="13">
        <v>772223798</v>
      </c>
      <c r="J251" s="10" t="s">
        <v>1234</v>
      </c>
      <c r="K251" t="str">
        <f>LEFT(C251,FIND(" ",C251)-1)&amp;"-"&amp;E251&amp;" "&amp;"Filialina çardırılma"</f>
        <v>Nərgin-Gence Filialina çardırılma</v>
      </c>
      <c r="L251">
        <f>VLOOKUP(D251,Anbar!$A$2:$B$5,2,FALSE)</f>
        <v>15</v>
      </c>
      <c r="M251">
        <f>VLOOKUP(D251,Anbar!$A$2:$C$5,3,FALSE)</f>
        <v>45</v>
      </c>
      <c r="N251">
        <f t="shared" si="6"/>
        <v>135</v>
      </c>
      <c r="O251">
        <f t="shared" si="7"/>
        <v>90</v>
      </c>
      <c r="P251" t="str">
        <f>IF(AND(F251="Nağd",G251&gt;5),M251*0.9,"0%")</f>
        <v>0%</v>
      </c>
      <c r="Q251" s="9" t="str">
        <f>IF(F251="Kredit",EOMONTH(B251,0),"")</f>
        <v/>
      </c>
      <c r="R251" s="17" t="str">
        <f>TEXT(B251,"dddd")</f>
        <v>Sunday</v>
      </c>
    </row>
    <row r="252" spans="1:18">
      <c r="A252" s="5" t="s">
        <v>259</v>
      </c>
      <c r="B252" s="8">
        <v>46034</v>
      </c>
      <c r="C252" s="5" t="s">
        <v>978</v>
      </c>
      <c r="D252" s="5" t="s">
        <v>971</v>
      </c>
      <c r="E252" s="5" t="s">
        <v>9</v>
      </c>
      <c r="F252" s="5" t="s">
        <v>7</v>
      </c>
      <c r="G252" s="5">
        <v>9</v>
      </c>
      <c r="H252" s="5" t="s">
        <v>963</v>
      </c>
      <c r="I252" s="13">
        <v>512203319</v>
      </c>
      <c r="J252" s="10" t="s">
        <v>1235</v>
      </c>
      <c r="K252" t="str">
        <f>LEFT(C252,FIND(" ",C252)-1)&amp;"-"&amp;E252&amp;" "&amp;"Filialina çardırılma"</f>
        <v>Əli-Gence Filialina çardırılma</v>
      </c>
      <c r="L252">
        <f>VLOOKUP(D252,Anbar!$A$2:$B$5,2,FALSE)</f>
        <v>1200</v>
      </c>
      <c r="M252">
        <f>VLOOKUP(D252,Anbar!$A$2:$C$5,3,FALSE)</f>
        <v>1800</v>
      </c>
      <c r="N252">
        <f t="shared" si="6"/>
        <v>16200</v>
      </c>
      <c r="O252">
        <f t="shared" si="7"/>
        <v>5400</v>
      </c>
      <c r="P252" t="str">
        <f>IF(AND(F252="Nağd",G252&gt;5),M252*0.9,"0%")</f>
        <v>0%</v>
      </c>
      <c r="Q252" s="9" t="str">
        <f>IF(F252="Kredit",EOMONTH(B252,0),"")</f>
        <v/>
      </c>
      <c r="R252" s="17" t="str">
        <f>TEXT(B252,"dddd")</f>
        <v>Monday</v>
      </c>
    </row>
    <row r="253" spans="1:18">
      <c r="A253" s="5" t="s">
        <v>260</v>
      </c>
      <c r="B253" s="8">
        <v>46137</v>
      </c>
      <c r="C253" s="5" t="s">
        <v>6</v>
      </c>
      <c r="D253" s="5" t="s">
        <v>15</v>
      </c>
      <c r="E253" s="5" t="s">
        <v>982</v>
      </c>
      <c r="F253" s="5" t="s">
        <v>4</v>
      </c>
      <c r="G253" s="5">
        <v>10</v>
      </c>
      <c r="H253" s="5" t="s">
        <v>963</v>
      </c>
      <c r="I253" s="13">
        <v>776368805</v>
      </c>
      <c r="J253" s="10" t="s">
        <v>1236</v>
      </c>
      <c r="K253" t="str">
        <f>LEFT(C253,FIND(" ",C253)-1)&amp;"-"&amp;E253&amp;" "&amp;"Filialina çardırılma"</f>
        <v>Zaur-Baki Filialina çardırılma</v>
      </c>
      <c r="L253">
        <f>VLOOKUP(D253,Anbar!$A$2:$B$5,2,FALSE)</f>
        <v>600</v>
      </c>
      <c r="M253">
        <f>VLOOKUP(D253,Anbar!$A$2:$C$5,3,FALSE)</f>
        <v>950</v>
      </c>
      <c r="N253">
        <f t="shared" si="6"/>
        <v>9500</v>
      </c>
      <c r="O253">
        <f t="shared" si="7"/>
        <v>3500</v>
      </c>
      <c r="P253" t="str">
        <f>IF(AND(F253="Nağd",G253&gt;5),M253*0.9,"0%")</f>
        <v>0%</v>
      </c>
      <c r="Q253" s="9">
        <f>IF(F253="Kredit",EOMONTH(B253,0),"")</f>
        <v>46142</v>
      </c>
      <c r="R253" s="17" t="str">
        <f>TEXT(B253,"dddd")</f>
        <v>Saturday</v>
      </c>
    </row>
    <row r="254" spans="1:18">
      <c r="A254" s="5" t="s">
        <v>261</v>
      </c>
      <c r="B254" s="8">
        <v>46171</v>
      </c>
      <c r="C254" s="5" t="s">
        <v>975</v>
      </c>
      <c r="D254" s="5" t="s">
        <v>20</v>
      </c>
      <c r="E254" s="5" t="s">
        <v>982</v>
      </c>
      <c r="F254" s="5" t="s">
        <v>965</v>
      </c>
      <c r="G254" s="5">
        <v>5</v>
      </c>
      <c r="H254" s="5" t="s">
        <v>963</v>
      </c>
      <c r="I254" s="13">
        <v>512100594</v>
      </c>
      <c r="J254" s="10" t="s">
        <v>1237</v>
      </c>
      <c r="K254" t="str">
        <f>LEFT(C254,FIND(" ",C254)-1)&amp;"-"&amp;E254&amp;" "&amp;"Filialina çardırılma"</f>
        <v>Murad-Baki Filialina çardırılma</v>
      </c>
      <c r="L254">
        <f>VLOOKUP(D254,Anbar!$A$2:$B$5,2,FALSE)</f>
        <v>15</v>
      </c>
      <c r="M254">
        <f>VLOOKUP(D254,Anbar!$A$2:$C$5,3,FALSE)</f>
        <v>45</v>
      </c>
      <c r="N254">
        <f t="shared" si="6"/>
        <v>225</v>
      </c>
      <c r="O254">
        <f t="shared" si="7"/>
        <v>150</v>
      </c>
      <c r="P254" t="str">
        <f>IF(AND(F254="Nağd",G254&gt;5),M254*0.9,"0%")</f>
        <v>0%</v>
      </c>
      <c r="Q254" s="9" t="str">
        <f>IF(F254="Kredit",EOMONTH(B254,0),"")</f>
        <v/>
      </c>
      <c r="R254" s="17" t="str">
        <f>TEXT(B254,"dddd")</f>
        <v>Friday</v>
      </c>
    </row>
    <row r="255" spans="1:18">
      <c r="A255" s="5" t="s">
        <v>262</v>
      </c>
      <c r="B255" s="8">
        <v>46171</v>
      </c>
      <c r="C255" s="5" t="s">
        <v>974</v>
      </c>
      <c r="D255" s="5" t="s">
        <v>15</v>
      </c>
      <c r="E255" s="5" t="s">
        <v>981</v>
      </c>
      <c r="F255" s="5" t="s">
        <v>965</v>
      </c>
      <c r="G255" s="5">
        <v>10</v>
      </c>
      <c r="H255" s="5" t="s">
        <v>963</v>
      </c>
      <c r="I255" s="13">
        <v>705988932</v>
      </c>
      <c r="J255" s="10" t="s">
        <v>1238</v>
      </c>
      <c r="K255" t="str">
        <f>LEFT(C255,FIND(" ",C255)-1)&amp;"-"&amp;E255&amp;" "&amp;"Filialina çardırılma"</f>
        <v>Ramil-Gəncə Filialina çardırılma</v>
      </c>
      <c r="L255">
        <f>VLOOKUP(D255,Anbar!$A$2:$B$5,2,FALSE)</f>
        <v>600</v>
      </c>
      <c r="M255">
        <f>VLOOKUP(D255,Anbar!$A$2:$C$5,3,FALSE)</f>
        <v>950</v>
      </c>
      <c r="N255">
        <f t="shared" si="6"/>
        <v>9500</v>
      </c>
      <c r="O255">
        <f t="shared" si="7"/>
        <v>3500</v>
      </c>
      <c r="P255">
        <f>IF(AND(F255="Nağd",G255&gt;5),M255*0.9,"0%")</f>
        <v>855</v>
      </c>
      <c r="Q255" s="9" t="str">
        <f>IF(F255="Kredit",EOMONTH(B255,0),"")</f>
        <v/>
      </c>
      <c r="R255" s="17" t="str">
        <f>TEXT(B255,"dddd")</f>
        <v>Friday</v>
      </c>
    </row>
    <row r="256" spans="1:18">
      <c r="A256" s="5" t="s">
        <v>263</v>
      </c>
      <c r="B256" s="8">
        <v>46067</v>
      </c>
      <c r="C256" s="5" t="s">
        <v>977</v>
      </c>
      <c r="D256" s="5" t="s">
        <v>20</v>
      </c>
      <c r="E256" s="5" t="s">
        <v>9</v>
      </c>
      <c r="F256" s="5" t="s">
        <v>965</v>
      </c>
      <c r="G256" s="5">
        <v>4</v>
      </c>
      <c r="H256" s="5" t="s">
        <v>963</v>
      </c>
      <c r="I256" s="13">
        <v>779368615</v>
      </c>
      <c r="J256" s="10" t="s">
        <v>1239</v>
      </c>
      <c r="K256" t="str">
        <f>LEFT(C256,FIND(" ",C256)-1)&amp;"-"&amp;E256&amp;" "&amp;"Filialina çardırılma"</f>
        <v>Elnur-Gence Filialina çardırılma</v>
      </c>
      <c r="L256">
        <f>VLOOKUP(D256,Anbar!$A$2:$B$5,2,FALSE)</f>
        <v>15</v>
      </c>
      <c r="M256">
        <f>VLOOKUP(D256,Anbar!$A$2:$C$5,3,FALSE)</f>
        <v>45</v>
      </c>
      <c r="N256">
        <f t="shared" si="6"/>
        <v>180</v>
      </c>
      <c r="O256">
        <f t="shared" si="7"/>
        <v>120</v>
      </c>
      <c r="P256" t="str">
        <f>IF(AND(F256="Nağd",G256&gt;5),M256*0.9,"0%")</f>
        <v>0%</v>
      </c>
      <c r="Q256" s="9" t="str">
        <f>IF(F256="Kredit",EOMONTH(B256,0),"")</f>
        <v/>
      </c>
      <c r="R256" s="17" t="str">
        <f>TEXT(B256,"dddd")</f>
        <v>Saturday</v>
      </c>
    </row>
    <row r="257" spans="1:18">
      <c r="A257" s="5" t="s">
        <v>264</v>
      </c>
      <c r="B257" s="8">
        <v>46091</v>
      </c>
      <c r="C257" s="5" t="s">
        <v>979</v>
      </c>
      <c r="D257" s="5" t="s">
        <v>15</v>
      </c>
      <c r="E257" s="5" t="s">
        <v>964</v>
      </c>
      <c r="F257" s="5" t="s">
        <v>4</v>
      </c>
      <c r="G257" s="5">
        <v>9</v>
      </c>
      <c r="H257" s="5" t="s">
        <v>963</v>
      </c>
      <c r="I257" s="13">
        <v>555175875</v>
      </c>
      <c r="J257" s="10" t="s">
        <v>1240</v>
      </c>
      <c r="K257" t="str">
        <f>LEFT(C257,FIND(" ",C257)-1)&amp;"-"&amp;E257&amp;" "&amp;"Filialina çardırılma"</f>
        <v>Leyla-Sumqayıt Filialina çardırılma</v>
      </c>
      <c r="L257">
        <f>VLOOKUP(D257,Anbar!$A$2:$B$5,2,FALSE)</f>
        <v>600</v>
      </c>
      <c r="M257">
        <f>VLOOKUP(D257,Anbar!$A$2:$C$5,3,FALSE)</f>
        <v>950</v>
      </c>
      <c r="N257">
        <f t="shared" si="6"/>
        <v>8550</v>
      </c>
      <c r="O257">
        <f t="shared" si="7"/>
        <v>3150</v>
      </c>
      <c r="P257" t="str">
        <f>IF(AND(F257="Nağd",G257&gt;5),M257*0.9,"0%")</f>
        <v>0%</v>
      </c>
      <c r="Q257" s="9">
        <f>IF(F257="Kredit",EOMONTH(B257,0),"")</f>
        <v>46112</v>
      </c>
      <c r="R257" s="17" t="str">
        <f>TEXT(B257,"dddd")</f>
        <v>Tuesday</v>
      </c>
    </row>
    <row r="258" spans="1:18">
      <c r="A258" s="5" t="s">
        <v>265</v>
      </c>
      <c r="B258" s="8">
        <v>46159</v>
      </c>
      <c r="C258" s="5" t="s">
        <v>6</v>
      </c>
      <c r="D258" s="5" t="s">
        <v>968</v>
      </c>
      <c r="E258" s="5" t="s">
        <v>964</v>
      </c>
      <c r="F258" s="5" t="s">
        <v>965</v>
      </c>
      <c r="G258" s="5">
        <v>8</v>
      </c>
      <c r="H258" s="5" t="s">
        <v>963</v>
      </c>
      <c r="I258" s="13">
        <v>703803645</v>
      </c>
      <c r="J258" s="10" t="s">
        <v>1241</v>
      </c>
      <c r="K258" t="str">
        <f>LEFT(C258,FIND(" ",C258)-1)&amp;"-"&amp;E258&amp;" "&amp;"Filialina çardırılma"</f>
        <v>Zaur-Sumqayıt Filialina çardırılma</v>
      </c>
      <c r="L258">
        <f>VLOOKUP(D258,Anbar!$A$2:$B$5,2,FALSE)</f>
        <v>400</v>
      </c>
      <c r="M258">
        <f>VLOOKUP(D258,Anbar!$A$2:$C$5,3,FALSE)</f>
        <v>650</v>
      </c>
      <c r="N258">
        <f t="shared" si="6"/>
        <v>5200</v>
      </c>
      <c r="O258">
        <f t="shared" si="7"/>
        <v>2000</v>
      </c>
      <c r="P258">
        <f>IF(AND(F258="Nağd",G258&gt;5),M258*0.9,"0%")</f>
        <v>585</v>
      </c>
      <c r="Q258" s="9" t="str">
        <f>IF(F258="Kredit",EOMONTH(B258,0),"")</f>
        <v/>
      </c>
      <c r="R258" s="17" t="str">
        <f>TEXT(B258,"dddd")</f>
        <v>Sunday</v>
      </c>
    </row>
    <row r="259" spans="1:18">
      <c r="A259" s="5" t="s">
        <v>266</v>
      </c>
      <c r="B259" s="8">
        <v>46139</v>
      </c>
      <c r="C259" s="5" t="s">
        <v>6</v>
      </c>
      <c r="D259" s="5" t="s">
        <v>968</v>
      </c>
      <c r="E259" s="5" t="s">
        <v>980</v>
      </c>
      <c r="F259" s="5" t="s">
        <v>7</v>
      </c>
      <c r="G259" s="5">
        <v>5</v>
      </c>
      <c r="H259" s="5" t="s">
        <v>963</v>
      </c>
      <c r="I259" s="13">
        <v>516585064</v>
      </c>
      <c r="J259" s="10" t="s">
        <v>1242</v>
      </c>
      <c r="K259" t="str">
        <f>LEFT(C259,FIND(" ",C259)-1)&amp;"-"&amp;E259&amp;" "&amp;"Filialina çardırılma"</f>
        <v>Zaur-Sumqayit Filialina çardırılma</v>
      </c>
      <c r="L259">
        <f>VLOOKUP(D259,Anbar!$A$2:$B$5,2,FALSE)</f>
        <v>400</v>
      </c>
      <c r="M259">
        <f>VLOOKUP(D259,Anbar!$A$2:$C$5,3,FALSE)</f>
        <v>650</v>
      </c>
      <c r="N259">
        <f t="shared" ref="N259:N322" si="8">G259*M259</f>
        <v>3250</v>
      </c>
      <c r="O259">
        <f t="shared" ref="O259:O322" si="9">(M259-L259)*G259</f>
        <v>1250</v>
      </c>
      <c r="P259" t="str">
        <f>IF(AND(F259="Nağd",G259&gt;5),M259*0.9,"0%")</f>
        <v>0%</v>
      </c>
      <c r="Q259" s="9" t="str">
        <f>IF(F259="Kredit",EOMONTH(B259,0),"")</f>
        <v/>
      </c>
      <c r="R259" s="17" t="str">
        <f>TEXT(B259,"dddd")</f>
        <v>Monday</v>
      </c>
    </row>
    <row r="260" spans="1:18">
      <c r="A260" s="5" t="s">
        <v>267</v>
      </c>
      <c r="B260" s="8">
        <v>46141</v>
      </c>
      <c r="C260" s="5" t="s">
        <v>975</v>
      </c>
      <c r="D260" s="5" t="s">
        <v>15</v>
      </c>
      <c r="E260" s="5" t="s">
        <v>964</v>
      </c>
      <c r="F260" s="5" t="s">
        <v>965</v>
      </c>
      <c r="G260" s="5">
        <v>9</v>
      </c>
      <c r="H260" s="5" t="s">
        <v>963</v>
      </c>
      <c r="I260" s="13">
        <v>513955379</v>
      </c>
      <c r="J260" s="10" t="s">
        <v>1243</v>
      </c>
      <c r="K260" t="str">
        <f>LEFT(C260,FIND(" ",C260)-1)&amp;"-"&amp;E260&amp;" "&amp;"Filialina çardırılma"</f>
        <v>Murad-Sumqayıt Filialina çardırılma</v>
      </c>
      <c r="L260">
        <f>VLOOKUP(D260,Anbar!$A$2:$B$5,2,FALSE)</f>
        <v>600</v>
      </c>
      <c r="M260">
        <f>VLOOKUP(D260,Anbar!$A$2:$C$5,3,FALSE)</f>
        <v>950</v>
      </c>
      <c r="N260">
        <f t="shared" si="8"/>
        <v>8550</v>
      </c>
      <c r="O260">
        <f t="shared" si="9"/>
        <v>3150</v>
      </c>
      <c r="P260">
        <f>IF(AND(F260="Nağd",G260&gt;5),M260*0.9,"0%")</f>
        <v>855</v>
      </c>
      <c r="Q260" s="9" t="str">
        <f>IF(F260="Kredit",EOMONTH(B260,0),"")</f>
        <v/>
      </c>
      <c r="R260" s="17" t="str">
        <f>TEXT(B260,"dddd")</f>
        <v>Wednesday</v>
      </c>
    </row>
    <row r="261" spans="1:18">
      <c r="A261" s="5" t="s">
        <v>268</v>
      </c>
      <c r="B261" s="8">
        <v>46133</v>
      </c>
      <c r="C261" s="5" t="s">
        <v>979</v>
      </c>
      <c r="D261" s="5" t="s">
        <v>15</v>
      </c>
      <c r="E261" s="5" t="s">
        <v>964</v>
      </c>
      <c r="F261" s="5" t="s">
        <v>7</v>
      </c>
      <c r="G261" s="5">
        <v>1</v>
      </c>
      <c r="H261" s="5" t="s">
        <v>963</v>
      </c>
      <c r="I261" s="13">
        <v>708643645</v>
      </c>
      <c r="J261" s="10" t="s">
        <v>1244</v>
      </c>
      <c r="K261" t="str">
        <f>LEFT(C261,FIND(" ",C261)-1)&amp;"-"&amp;E261&amp;" "&amp;"Filialina çardırılma"</f>
        <v>Leyla-Sumqayıt Filialina çardırılma</v>
      </c>
      <c r="L261">
        <f>VLOOKUP(D261,Anbar!$A$2:$B$5,2,FALSE)</f>
        <v>600</v>
      </c>
      <c r="M261">
        <f>VLOOKUP(D261,Anbar!$A$2:$C$5,3,FALSE)</f>
        <v>950</v>
      </c>
      <c r="N261">
        <f t="shared" si="8"/>
        <v>950</v>
      </c>
      <c r="O261">
        <f t="shared" si="9"/>
        <v>350</v>
      </c>
      <c r="P261" t="str">
        <f>IF(AND(F261="Nağd",G261&gt;5),M261*0.9,"0%")</f>
        <v>0%</v>
      </c>
      <c r="Q261" s="9" t="str">
        <f>IF(F261="Kredit",EOMONTH(B261,0),"")</f>
        <v/>
      </c>
      <c r="R261" s="17" t="str">
        <f>TEXT(B261,"dddd")</f>
        <v>Tuesday</v>
      </c>
    </row>
    <row r="262" spans="1:18">
      <c r="A262" s="5" t="s">
        <v>269</v>
      </c>
      <c r="B262" s="8">
        <v>46039</v>
      </c>
      <c r="C262" s="5" t="s">
        <v>974</v>
      </c>
      <c r="D262" s="5" t="s">
        <v>971</v>
      </c>
      <c r="E262" s="5" t="s">
        <v>981</v>
      </c>
      <c r="F262" s="5" t="s">
        <v>4</v>
      </c>
      <c r="G262" s="5">
        <v>8</v>
      </c>
      <c r="H262" s="5" t="s">
        <v>963</v>
      </c>
      <c r="I262" s="13">
        <v>705860466</v>
      </c>
      <c r="J262" s="10" t="s">
        <v>1245</v>
      </c>
      <c r="K262" t="str">
        <f>LEFT(C262,FIND(" ",C262)-1)&amp;"-"&amp;E262&amp;" "&amp;"Filialina çardırılma"</f>
        <v>Ramil-Gəncə Filialina çardırılma</v>
      </c>
      <c r="L262">
        <f>VLOOKUP(D262,Anbar!$A$2:$B$5,2,FALSE)</f>
        <v>1200</v>
      </c>
      <c r="M262">
        <f>VLOOKUP(D262,Anbar!$A$2:$C$5,3,FALSE)</f>
        <v>1800</v>
      </c>
      <c r="N262">
        <f t="shared" si="8"/>
        <v>14400</v>
      </c>
      <c r="O262">
        <f t="shared" si="9"/>
        <v>4800</v>
      </c>
      <c r="P262" t="str">
        <f>IF(AND(F262="Nağd",G262&gt;5),M262*0.9,"0%")</f>
        <v>0%</v>
      </c>
      <c r="Q262" s="9">
        <f>IF(F262="Kredit",EOMONTH(B262,0),"")</f>
        <v>46053</v>
      </c>
      <c r="R262" s="17" t="str">
        <f>TEXT(B262,"dddd")</f>
        <v>Saturday</v>
      </c>
    </row>
    <row r="263" spans="1:18">
      <c r="A263" s="5" t="s">
        <v>270</v>
      </c>
      <c r="B263" s="8">
        <v>46142</v>
      </c>
      <c r="C263" s="5" t="s">
        <v>977</v>
      </c>
      <c r="D263" s="5" t="s">
        <v>971</v>
      </c>
      <c r="E263" s="5" t="s">
        <v>966</v>
      </c>
      <c r="F263" s="5" t="s">
        <v>965</v>
      </c>
      <c r="G263" s="5">
        <v>10</v>
      </c>
      <c r="H263" s="5" t="s">
        <v>963</v>
      </c>
      <c r="I263" s="13">
        <v>776285646</v>
      </c>
      <c r="J263" s="10" t="s">
        <v>1246</v>
      </c>
      <c r="K263" t="str">
        <f>LEFT(C263,FIND(" ",C263)-1)&amp;"-"&amp;E263&amp;" "&amp;"Filialina çardırılma"</f>
        <v>Elnur-Bakı Filialina çardırılma</v>
      </c>
      <c r="L263">
        <f>VLOOKUP(D263,Anbar!$A$2:$B$5,2,FALSE)</f>
        <v>1200</v>
      </c>
      <c r="M263">
        <f>VLOOKUP(D263,Anbar!$A$2:$C$5,3,FALSE)</f>
        <v>1800</v>
      </c>
      <c r="N263">
        <f t="shared" si="8"/>
        <v>18000</v>
      </c>
      <c r="O263">
        <f t="shared" si="9"/>
        <v>6000</v>
      </c>
      <c r="P263">
        <f>IF(AND(F263="Nağd",G263&gt;5),M263*0.9,"0%")</f>
        <v>1620</v>
      </c>
      <c r="Q263" s="9" t="str">
        <f>IF(F263="Kredit",EOMONTH(B263,0),"")</f>
        <v/>
      </c>
      <c r="R263" s="17" t="str">
        <f>TEXT(B263,"dddd")</f>
        <v>Thursday</v>
      </c>
    </row>
    <row r="264" spans="1:18">
      <c r="A264" s="5" t="s">
        <v>271</v>
      </c>
      <c r="B264" s="8">
        <v>46039</v>
      </c>
      <c r="C264" s="5" t="s">
        <v>6</v>
      </c>
      <c r="D264" s="5" t="s">
        <v>15</v>
      </c>
      <c r="E264" s="5" t="s">
        <v>981</v>
      </c>
      <c r="F264" s="5" t="s">
        <v>7</v>
      </c>
      <c r="G264" s="5">
        <v>5</v>
      </c>
      <c r="H264" s="5" t="s">
        <v>963</v>
      </c>
      <c r="I264" s="13">
        <v>500036566</v>
      </c>
      <c r="J264" s="10" t="s">
        <v>1247</v>
      </c>
      <c r="K264" t="str">
        <f>LEFT(C264,FIND(" ",C264)-1)&amp;"-"&amp;E264&amp;" "&amp;"Filialina çardırılma"</f>
        <v>Zaur-Gəncə Filialina çardırılma</v>
      </c>
      <c r="L264">
        <f>VLOOKUP(D264,Anbar!$A$2:$B$5,2,FALSE)</f>
        <v>600</v>
      </c>
      <c r="M264">
        <f>VLOOKUP(D264,Anbar!$A$2:$C$5,3,FALSE)</f>
        <v>950</v>
      </c>
      <c r="N264">
        <f t="shared" si="8"/>
        <v>4750</v>
      </c>
      <c r="O264">
        <f t="shared" si="9"/>
        <v>1750</v>
      </c>
      <c r="P264" t="str">
        <f>IF(AND(F264="Nağd",G264&gt;5),M264*0.9,"0%")</f>
        <v>0%</v>
      </c>
      <c r="Q264" s="9" t="str">
        <f>IF(F264="Kredit",EOMONTH(B264,0),"")</f>
        <v/>
      </c>
      <c r="R264" s="17" t="str">
        <f>TEXT(B264,"dddd")</f>
        <v>Saturday</v>
      </c>
    </row>
    <row r="265" spans="1:18">
      <c r="A265" s="5" t="s">
        <v>272</v>
      </c>
      <c r="B265" s="8">
        <v>46074</v>
      </c>
      <c r="C265" s="5" t="s">
        <v>978</v>
      </c>
      <c r="D265" s="5" t="s">
        <v>20</v>
      </c>
      <c r="E265" s="5" t="s">
        <v>982</v>
      </c>
      <c r="F265" s="5" t="s">
        <v>965</v>
      </c>
      <c r="G265" s="5">
        <v>3</v>
      </c>
      <c r="H265" s="5" t="s">
        <v>963</v>
      </c>
      <c r="I265" s="13">
        <v>516073035</v>
      </c>
      <c r="J265" s="10" t="s">
        <v>1248</v>
      </c>
      <c r="K265" t="str">
        <f>LEFT(C265,FIND(" ",C265)-1)&amp;"-"&amp;E265&amp;" "&amp;"Filialina çardırılma"</f>
        <v>Əli-Baki Filialina çardırılma</v>
      </c>
      <c r="L265">
        <f>VLOOKUP(D265,Anbar!$A$2:$B$5,2,FALSE)</f>
        <v>15</v>
      </c>
      <c r="M265">
        <f>VLOOKUP(D265,Anbar!$A$2:$C$5,3,FALSE)</f>
        <v>45</v>
      </c>
      <c r="N265">
        <f t="shared" si="8"/>
        <v>135</v>
      </c>
      <c r="O265">
        <f t="shared" si="9"/>
        <v>90</v>
      </c>
      <c r="P265" t="str">
        <f>IF(AND(F265="Nağd",G265&gt;5),M265*0.9,"0%")</f>
        <v>0%</v>
      </c>
      <c r="Q265" s="9" t="str">
        <f>IF(F265="Kredit",EOMONTH(B265,0),"")</f>
        <v/>
      </c>
      <c r="R265" s="17" t="str">
        <f>TEXT(B265,"dddd")</f>
        <v>Saturday</v>
      </c>
    </row>
    <row r="266" spans="1:18">
      <c r="A266" s="5" t="s">
        <v>273</v>
      </c>
      <c r="B266" s="8">
        <v>46138</v>
      </c>
      <c r="C266" s="5" t="s">
        <v>974</v>
      </c>
      <c r="D266" s="5" t="s">
        <v>20</v>
      </c>
      <c r="E266" s="5" t="s">
        <v>981</v>
      </c>
      <c r="F266" s="5" t="s">
        <v>965</v>
      </c>
      <c r="G266" s="5">
        <v>5</v>
      </c>
      <c r="H266" s="5" t="s">
        <v>963</v>
      </c>
      <c r="I266" s="13">
        <v>550187688</v>
      </c>
      <c r="J266" s="10" t="s">
        <v>1249</v>
      </c>
      <c r="K266" t="str">
        <f>LEFT(C266,FIND(" ",C266)-1)&amp;"-"&amp;E266&amp;" "&amp;"Filialina çardırılma"</f>
        <v>Ramil-Gəncə Filialina çardırılma</v>
      </c>
      <c r="L266">
        <f>VLOOKUP(D266,Anbar!$A$2:$B$5,2,FALSE)</f>
        <v>15</v>
      </c>
      <c r="M266">
        <f>VLOOKUP(D266,Anbar!$A$2:$C$5,3,FALSE)</f>
        <v>45</v>
      </c>
      <c r="N266">
        <f t="shared" si="8"/>
        <v>225</v>
      </c>
      <c r="O266">
        <f t="shared" si="9"/>
        <v>150</v>
      </c>
      <c r="P266" t="str">
        <f>IF(AND(F266="Nağd",G266&gt;5),M266*0.9,"0%")</f>
        <v>0%</v>
      </c>
      <c r="Q266" s="9" t="str">
        <f>IF(F266="Kredit",EOMONTH(B266,0),"")</f>
        <v/>
      </c>
      <c r="R266" s="17" t="str">
        <f>TEXT(B266,"dddd")</f>
        <v>Sunday</v>
      </c>
    </row>
    <row r="267" spans="1:18">
      <c r="A267" s="5" t="s">
        <v>274</v>
      </c>
      <c r="B267" s="8">
        <v>46130</v>
      </c>
      <c r="C267" s="5" t="s">
        <v>967</v>
      </c>
      <c r="D267" s="5" t="s">
        <v>20</v>
      </c>
      <c r="E267" s="5" t="s">
        <v>9</v>
      </c>
      <c r="F267" s="5" t="s">
        <v>7</v>
      </c>
      <c r="G267" s="5">
        <v>9</v>
      </c>
      <c r="H267" s="5" t="s">
        <v>963</v>
      </c>
      <c r="I267" s="13">
        <v>776514583</v>
      </c>
      <c r="J267" s="10" t="s">
        <v>1250</v>
      </c>
      <c r="K267" t="str">
        <f>LEFT(C267,FIND(" ",C267)-1)&amp;"-"&amp;E267&amp;" "&amp;"Filialina çardırılma"</f>
        <v>Aysel-Gence Filialina çardırılma</v>
      </c>
      <c r="L267">
        <f>VLOOKUP(D267,Anbar!$A$2:$B$5,2,FALSE)</f>
        <v>15</v>
      </c>
      <c r="M267">
        <f>VLOOKUP(D267,Anbar!$A$2:$C$5,3,FALSE)</f>
        <v>45</v>
      </c>
      <c r="N267">
        <f t="shared" si="8"/>
        <v>405</v>
      </c>
      <c r="O267">
        <f t="shared" si="9"/>
        <v>270</v>
      </c>
      <c r="P267" t="str">
        <f>IF(AND(F267="Nağd",G267&gt;5),M267*0.9,"0%")</f>
        <v>0%</v>
      </c>
      <c r="Q267" s="9" t="str">
        <f>IF(F267="Kredit",EOMONTH(B267,0),"")</f>
        <v/>
      </c>
      <c r="R267" s="17" t="str">
        <f>TEXT(B267,"dddd")</f>
        <v>Saturday</v>
      </c>
    </row>
    <row r="268" spans="1:18">
      <c r="A268" s="5" t="s">
        <v>275</v>
      </c>
      <c r="B268" s="8">
        <v>46048</v>
      </c>
      <c r="C268" s="5" t="s">
        <v>978</v>
      </c>
      <c r="D268" s="5" t="s">
        <v>971</v>
      </c>
      <c r="E268" s="5" t="s">
        <v>964</v>
      </c>
      <c r="F268" s="5" t="s">
        <v>4</v>
      </c>
      <c r="G268" s="5">
        <v>5</v>
      </c>
      <c r="H268" s="5" t="s">
        <v>963</v>
      </c>
      <c r="I268" s="13">
        <v>708625332</v>
      </c>
      <c r="J268" s="10" t="s">
        <v>1251</v>
      </c>
      <c r="K268" t="str">
        <f>LEFT(C268,FIND(" ",C268)-1)&amp;"-"&amp;E268&amp;" "&amp;"Filialina çardırılma"</f>
        <v>Əli-Sumqayıt Filialina çardırılma</v>
      </c>
      <c r="L268">
        <f>VLOOKUP(D268,Anbar!$A$2:$B$5,2,FALSE)</f>
        <v>1200</v>
      </c>
      <c r="M268">
        <f>VLOOKUP(D268,Anbar!$A$2:$C$5,3,FALSE)</f>
        <v>1800</v>
      </c>
      <c r="N268">
        <f t="shared" si="8"/>
        <v>9000</v>
      </c>
      <c r="O268">
        <f t="shared" si="9"/>
        <v>3000</v>
      </c>
      <c r="P268" t="str">
        <f>IF(AND(F268="Nağd",G268&gt;5),M268*0.9,"0%")</f>
        <v>0%</v>
      </c>
      <c r="Q268" s="9">
        <f>IF(F268="Kredit",EOMONTH(B268,0),"")</f>
        <v>46053</v>
      </c>
      <c r="R268" s="17" t="str">
        <f>TEXT(B268,"dddd")</f>
        <v>Monday</v>
      </c>
    </row>
    <row r="269" spans="1:18">
      <c r="A269" s="5" t="s">
        <v>276</v>
      </c>
      <c r="B269" s="8">
        <v>46169</v>
      </c>
      <c r="C269" s="5" t="s">
        <v>977</v>
      </c>
      <c r="D269" s="5" t="s">
        <v>15</v>
      </c>
      <c r="E269" s="5" t="s">
        <v>964</v>
      </c>
      <c r="F269" s="5" t="s">
        <v>965</v>
      </c>
      <c r="G269" s="5">
        <v>10</v>
      </c>
      <c r="H269" s="5" t="s">
        <v>963</v>
      </c>
      <c r="I269" s="13">
        <v>559319679</v>
      </c>
      <c r="J269" s="10" t="s">
        <v>1252</v>
      </c>
      <c r="K269" t="str">
        <f>LEFT(C269,FIND(" ",C269)-1)&amp;"-"&amp;E269&amp;" "&amp;"Filialina çardırılma"</f>
        <v>Elnur-Sumqayıt Filialina çardırılma</v>
      </c>
      <c r="L269">
        <f>VLOOKUP(D269,Anbar!$A$2:$B$5,2,FALSE)</f>
        <v>600</v>
      </c>
      <c r="M269">
        <f>VLOOKUP(D269,Anbar!$A$2:$C$5,3,FALSE)</f>
        <v>950</v>
      </c>
      <c r="N269">
        <f t="shared" si="8"/>
        <v>9500</v>
      </c>
      <c r="O269">
        <f t="shared" si="9"/>
        <v>3500</v>
      </c>
      <c r="P269">
        <f>IF(AND(F269="Nağd",G269&gt;5),M269*0.9,"0%")</f>
        <v>855</v>
      </c>
      <c r="Q269" s="9" t="str">
        <f>IF(F269="Kredit",EOMONTH(B269,0),"")</f>
        <v/>
      </c>
      <c r="R269" s="17" t="str">
        <f>TEXT(B269,"dddd")</f>
        <v>Wednesday</v>
      </c>
    </row>
    <row r="270" spans="1:18">
      <c r="A270" s="5" t="s">
        <v>277</v>
      </c>
      <c r="B270" s="8">
        <v>46122</v>
      </c>
      <c r="C270" s="5" t="s">
        <v>975</v>
      </c>
      <c r="D270" s="5" t="s">
        <v>968</v>
      </c>
      <c r="E270" s="5" t="s">
        <v>9</v>
      </c>
      <c r="F270" s="5" t="s">
        <v>7</v>
      </c>
      <c r="G270" s="5">
        <v>9</v>
      </c>
      <c r="H270" s="5" t="s">
        <v>963</v>
      </c>
      <c r="I270" s="13">
        <v>510118271</v>
      </c>
      <c r="J270" s="10" t="s">
        <v>1253</v>
      </c>
      <c r="K270" t="str">
        <f>LEFT(C270,FIND(" ",C270)-1)&amp;"-"&amp;E270&amp;" "&amp;"Filialina çardırılma"</f>
        <v>Murad-Gence Filialina çardırılma</v>
      </c>
      <c r="L270">
        <f>VLOOKUP(D270,Anbar!$A$2:$B$5,2,FALSE)</f>
        <v>400</v>
      </c>
      <c r="M270">
        <f>VLOOKUP(D270,Anbar!$A$2:$C$5,3,FALSE)</f>
        <v>650</v>
      </c>
      <c r="N270">
        <f t="shared" si="8"/>
        <v>5850</v>
      </c>
      <c r="O270">
        <f t="shared" si="9"/>
        <v>2250</v>
      </c>
      <c r="P270" t="str">
        <f>IF(AND(F270="Nağd",G270&gt;5),M270*0.9,"0%")</f>
        <v>0%</v>
      </c>
      <c r="Q270" s="9" t="str">
        <f>IF(F270="Kredit",EOMONTH(B270,0),"")</f>
        <v/>
      </c>
      <c r="R270" s="17" t="str">
        <f>TEXT(B270,"dddd")</f>
        <v>Friday</v>
      </c>
    </row>
    <row r="271" spans="1:18">
      <c r="A271" s="5" t="s">
        <v>278</v>
      </c>
      <c r="B271" s="8">
        <v>46085</v>
      </c>
      <c r="C271" s="5" t="s">
        <v>976</v>
      </c>
      <c r="D271" s="5" t="s">
        <v>971</v>
      </c>
      <c r="E271" s="5" t="s">
        <v>981</v>
      </c>
      <c r="F271" s="5" t="s">
        <v>7</v>
      </c>
      <c r="G271" s="5">
        <v>5</v>
      </c>
      <c r="H271" s="5" t="s">
        <v>963</v>
      </c>
      <c r="I271" s="13">
        <v>509426380</v>
      </c>
      <c r="J271" s="10" t="s">
        <v>1254</v>
      </c>
      <c r="K271" t="str">
        <f>LEFT(C271,FIND(" ",C271)-1)&amp;"-"&amp;E271&amp;" "&amp;"Filialina çardırılma"</f>
        <v>Nərgin-Gəncə Filialina çardırılma</v>
      </c>
      <c r="L271">
        <f>VLOOKUP(D271,Anbar!$A$2:$B$5,2,FALSE)</f>
        <v>1200</v>
      </c>
      <c r="M271">
        <f>VLOOKUP(D271,Anbar!$A$2:$C$5,3,FALSE)</f>
        <v>1800</v>
      </c>
      <c r="N271">
        <f t="shared" si="8"/>
        <v>9000</v>
      </c>
      <c r="O271">
        <f t="shared" si="9"/>
        <v>3000</v>
      </c>
      <c r="P271" t="str">
        <f>IF(AND(F271="Nağd",G271&gt;5),M271*0.9,"0%")</f>
        <v>0%</v>
      </c>
      <c r="Q271" s="9" t="str">
        <f>IF(F271="Kredit",EOMONTH(B271,0),"")</f>
        <v/>
      </c>
      <c r="R271" s="17" t="str">
        <f>TEXT(B271,"dddd")</f>
        <v>Wednesday</v>
      </c>
    </row>
    <row r="272" spans="1:18">
      <c r="A272" s="5" t="s">
        <v>279</v>
      </c>
      <c r="B272" s="8">
        <v>46134</v>
      </c>
      <c r="C272" s="5" t="s">
        <v>978</v>
      </c>
      <c r="D272" s="5" t="s">
        <v>20</v>
      </c>
      <c r="E272" s="5" t="s">
        <v>966</v>
      </c>
      <c r="F272" s="5" t="s">
        <v>965</v>
      </c>
      <c r="G272" s="5">
        <v>6</v>
      </c>
      <c r="H272" s="5" t="s">
        <v>963</v>
      </c>
      <c r="I272" s="13">
        <v>502421491</v>
      </c>
      <c r="J272" s="10" t="s">
        <v>1255</v>
      </c>
      <c r="K272" t="str">
        <f>LEFT(C272,FIND(" ",C272)-1)&amp;"-"&amp;E272&amp;" "&amp;"Filialina çardırılma"</f>
        <v>Əli-Bakı Filialina çardırılma</v>
      </c>
      <c r="L272">
        <f>VLOOKUP(D272,Anbar!$A$2:$B$5,2,FALSE)</f>
        <v>15</v>
      </c>
      <c r="M272">
        <f>VLOOKUP(D272,Anbar!$A$2:$C$5,3,FALSE)</f>
        <v>45</v>
      </c>
      <c r="N272">
        <f t="shared" si="8"/>
        <v>270</v>
      </c>
      <c r="O272">
        <f t="shared" si="9"/>
        <v>180</v>
      </c>
      <c r="P272">
        <f>IF(AND(F272="Nağd",G272&gt;5),M272*0.9,"0%")</f>
        <v>40.5</v>
      </c>
      <c r="Q272" s="9" t="str">
        <f>IF(F272="Kredit",EOMONTH(B272,0),"")</f>
        <v/>
      </c>
      <c r="R272" s="17" t="str">
        <f>TEXT(B272,"dddd")</f>
        <v>Wednesday</v>
      </c>
    </row>
    <row r="273" spans="1:18">
      <c r="A273" s="5" t="s">
        <v>280</v>
      </c>
      <c r="B273" s="8">
        <v>46147</v>
      </c>
      <c r="C273" s="5" t="s">
        <v>974</v>
      </c>
      <c r="D273" s="5" t="s">
        <v>20</v>
      </c>
      <c r="E273" s="5" t="s">
        <v>981</v>
      </c>
      <c r="F273" s="5" t="s">
        <v>4</v>
      </c>
      <c r="G273" s="5">
        <v>5</v>
      </c>
      <c r="H273" s="5" t="s">
        <v>963</v>
      </c>
      <c r="I273" s="13">
        <v>506078763</v>
      </c>
      <c r="J273" s="10" t="s">
        <v>1256</v>
      </c>
      <c r="K273" t="str">
        <f>LEFT(C273,FIND(" ",C273)-1)&amp;"-"&amp;E273&amp;" "&amp;"Filialina çardırılma"</f>
        <v>Ramil-Gəncə Filialina çardırılma</v>
      </c>
      <c r="L273">
        <f>VLOOKUP(D273,Anbar!$A$2:$B$5,2,FALSE)</f>
        <v>15</v>
      </c>
      <c r="M273">
        <f>VLOOKUP(D273,Anbar!$A$2:$C$5,3,FALSE)</f>
        <v>45</v>
      </c>
      <c r="N273">
        <f t="shared" si="8"/>
        <v>225</v>
      </c>
      <c r="O273">
        <f t="shared" si="9"/>
        <v>150</v>
      </c>
      <c r="P273" t="str">
        <f>IF(AND(F273="Nağd",G273&gt;5),M273*0.9,"0%")</f>
        <v>0%</v>
      </c>
      <c r="Q273" s="9">
        <f>IF(F273="Kredit",EOMONTH(B273,0),"")</f>
        <v>46173</v>
      </c>
      <c r="R273" s="17" t="str">
        <f>TEXT(B273,"dddd")</f>
        <v>Tuesday</v>
      </c>
    </row>
    <row r="274" spans="1:18">
      <c r="A274" s="5" t="s">
        <v>281</v>
      </c>
      <c r="B274" s="8">
        <v>46125</v>
      </c>
      <c r="C274" s="5" t="s">
        <v>974</v>
      </c>
      <c r="D274" s="5" t="s">
        <v>971</v>
      </c>
      <c r="E274" s="5" t="s">
        <v>981</v>
      </c>
      <c r="F274" s="5" t="s">
        <v>7</v>
      </c>
      <c r="G274" s="5">
        <v>10</v>
      </c>
      <c r="H274" s="5" t="s">
        <v>963</v>
      </c>
      <c r="I274" s="13">
        <v>554853012</v>
      </c>
      <c r="J274" s="10" t="s">
        <v>1257</v>
      </c>
      <c r="K274" t="str">
        <f>LEFT(C274,FIND(" ",C274)-1)&amp;"-"&amp;E274&amp;" "&amp;"Filialina çardırılma"</f>
        <v>Ramil-Gəncə Filialina çardırılma</v>
      </c>
      <c r="L274">
        <f>VLOOKUP(D274,Anbar!$A$2:$B$5,2,FALSE)</f>
        <v>1200</v>
      </c>
      <c r="M274">
        <f>VLOOKUP(D274,Anbar!$A$2:$C$5,3,FALSE)</f>
        <v>1800</v>
      </c>
      <c r="N274">
        <f t="shared" si="8"/>
        <v>18000</v>
      </c>
      <c r="O274">
        <f t="shared" si="9"/>
        <v>6000</v>
      </c>
      <c r="P274" t="str">
        <f>IF(AND(F274="Nağd",G274&gt;5),M274*0.9,"0%")</f>
        <v>0%</v>
      </c>
      <c r="Q274" s="9" t="str">
        <f>IF(F274="Kredit",EOMONTH(B274,0),"")</f>
        <v/>
      </c>
      <c r="R274" s="17" t="str">
        <f>TEXT(B274,"dddd")</f>
        <v>Monday</v>
      </c>
    </row>
    <row r="275" spans="1:18">
      <c r="A275" s="5" t="s">
        <v>282</v>
      </c>
      <c r="B275" s="8">
        <v>46101</v>
      </c>
      <c r="C275" s="5" t="s">
        <v>6</v>
      </c>
      <c r="D275" s="5" t="s">
        <v>15</v>
      </c>
      <c r="E275" s="5" t="s">
        <v>982</v>
      </c>
      <c r="F275" s="5" t="s">
        <v>965</v>
      </c>
      <c r="G275" s="5">
        <v>10</v>
      </c>
      <c r="H275" s="5" t="s">
        <v>963</v>
      </c>
      <c r="I275" s="13">
        <v>701197672</v>
      </c>
      <c r="J275" s="10" t="s">
        <v>1258</v>
      </c>
      <c r="K275" t="str">
        <f>LEFT(C275,FIND(" ",C275)-1)&amp;"-"&amp;E275&amp;" "&amp;"Filialina çardırılma"</f>
        <v>Zaur-Baki Filialina çardırılma</v>
      </c>
      <c r="L275">
        <f>VLOOKUP(D275,Anbar!$A$2:$B$5,2,FALSE)</f>
        <v>600</v>
      </c>
      <c r="M275">
        <f>VLOOKUP(D275,Anbar!$A$2:$C$5,3,FALSE)</f>
        <v>950</v>
      </c>
      <c r="N275">
        <f t="shared" si="8"/>
        <v>9500</v>
      </c>
      <c r="O275">
        <f t="shared" si="9"/>
        <v>3500</v>
      </c>
      <c r="P275">
        <f>IF(AND(F275="Nağd",G275&gt;5),M275*0.9,"0%")</f>
        <v>855</v>
      </c>
      <c r="Q275" s="9" t="str">
        <f>IF(F275="Kredit",EOMONTH(B275,0),"")</f>
        <v/>
      </c>
      <c r="R275" s="17" t="str">
        <f>TEXT(B275,"dddd")</f>
        <v>Friday</v>
      </c>
    </row>
    <row r="276" spans="1:18">
      <c r="A276" s="5" t="s">
        <v>283</v>
      </c>
      <c r="B276" s="8">
        <v>46166</v>
      </c>
      <c r="C276" s="5" t="s">
        <v>979</v>
      </c>
      <c r="D276" s="5" t="s">
        <v>20</v>
      </c>
      <c r="E276" s="5" t="s">
        <v>981</v>
      </c>
      <c r="F276" s="5" t="s">
        <v>965</v>
      </c>
      <c r="G276" s="5">
        <v>9</v>
      </c>
      <c r="H276" s="5" t="s">
        <v>963</v>
      </c>
      <c r="I276" s="13">
        <v>513906758</v>
      </c>
      <c r="J276" s="10" t="s">
        <v>1259</v>
      </c>
      <c r="K276" t="str">
        <f>LEFT(C276,FIND(" ",C276)-1)&amp;"-"&amp;E276&amp;" "&amp;"Filialina çardırılma"</f>
        <v>Leyla-Gəncə Filialina çardırılma</v>
      </c>
      <c r="L276">
        <f>VLOOKUP(D276,Anbar!$A$2:$B$5,2,FALSE)</f>
        <v>15</v>
      </c>
      <c r="M276">
        <f>VLOOKUP(D276,Anbar!$A$2:$C$5,3,FALSE)</f>
        <v>45</v>
      </c>
      <c r="N276">
        <f t="shared" si="8"/>
        <v>405</v>
      </c>
      <c r="O276">
        <f t="shared" si="9"/>
        <v>270</v>
      </c>
      <c r="P276">
        <f>IF(AND(F276="Nağd",G276&gt;5),M276*0.9,"0%")</f>
        <v>40.5</v>
      </c>
      <c r="Q276" s="9" t="str">
        <f>IF(F276="Kredit",EOMONTH(B276,0),"")</f>
        <v/>
      </c>
      <c r="R276" s="17" t="str">
        <f>TEXT(B276,"dddd")</f>
        <v>Sunday</v>
      </c>
    </row>
    <row r="277" spans="1:18">
      <c r="A277" s="5" t="s">
        <v>284</v>
      </c>
      <c r="B277" s="8">
        <v>46035</v>
      </c>
      <c r="C277" s="5" t="s">
        <v>978</v>
      </c>
      <c r="D277" s="5" t="s">
        <v>971</v>
      </c>
      <c r="E277" s="5" t="s">
        <v>981</v>
      </c>
      <c r="F277" s="5" t="s">
        <v>965</v>
      </c>
      <c r="G277" s="5">
        <v>6</v>
      </c>
      <c r="H277" s="5" t="s">
        <v>963</v>
      </c>
      <c r="I277" s="13">
        <v>514238319</v>
      </c>
      <c r="J277" s="10" t="s">
        <v>1260</v>
      </c>
      <c r="K277" t="str">
        <f>LEFT(C277,FIND(" ",C277)-1)&amp;"-"&amp;E277&amp;" "&amp;"Filialina çardırılma"</f>
        <v>Əli-Gəncə Filialina çardırılma</v>
      </c>
      <c r="L277">
        <f>VLOOKUP(D277,Anbar!$A$2:$B$5,2,FALSE)</f>
        <v>1200</v>
      </c>
      <c r="M277">
        <f>VLOOKUP(D277,Anbar!$A$2:$C$5,3,FALSE)</f>
        <v>1800</v>
      </c>
      <c r="N277">
        <f t="shared" si="8"/>
        <v>10800</v>
      </c>
      <c r="O277">
        <f t="shared" si="9"/>
        <v>3600</v>
      </c>
      <c r="P277">
        <f>IF(AND(F277="Nağd",G277&gt;5),M277*0.9,"0%")</f>
        <v>1620</v>
      </c>
      <c r="Q277" s="9" t="str">
        <f>IF(F277="Kredit",EOMONTH(B277,0),"")</f>
        <v/>
      </c>
      <c r="R277" s="17" t="str">
        <f>TEXT(B277,"dddd")</f>
        <v>Tuesday</v>
      </c>
    </row>
    <row r="278" spans="1:18">
      <c r="A278" s="5" t="s">
        <v>285</v>
      </c>
      <c r="B278" s="8">
        <v>46073</v>
      </c>
      <c r="C278" s="5" t="s">
        <v>976</v>
      </c>
      <c r="D278" s="5" t="s">
        <v>971</v>
      </c>
      <c r="E278" s="5" t="s">
        <v>982</v>
      </c>
      <c r="F278" s="5" t="s">
        <v>965</v>
      </c>
      <c r="G278" s="5">
        <v>9</v>
      </c>
      <c r="H278" s="5" t="s">
        <v>963</v>
      </c>
      <c r="I278" s="13">
        <v>552960113</v>
      </c>
      <c r="J278" s="10" t="s">
        <v>1261</v>
      </c>
      <c r="K278" t="str">
        <f>LEFT(C278,FIND(" ",C278)-1)&amp;"-"&amp;E278&amp;" "&amp;"Filialina çardırılma"</f>
        <v>Nərgin-Baki Filialina çardırılma</v>
      </c>
      <c r="L278">
        <f>VLOOKUP(D278,Anbar!$A$2:$B$5,2,FALSE)</f>
        <v>1200</v>
      </c>
      <c r="M278">
        <f>VLOOKUP(D278,Anbar!$A$2:$C$5,3,FALSE)</f>
        <v>1800</v>
      </c>
      <c r="N278">
        <f t="shared" si="8"/>
        <v>16200</v>
      </c>
      <c r="O278">
        <f t="shared" si="9"/>
        <v>5400</v>
      </c>
      <c r="P278">
        <f>IF(AND(F278="Nağd",G278&gt;5),M278*0.9,"0%")</f>
        <v>1620</v>
      </c>
      <c r="Q278" s="9" t="str">
        <f>IF(F278="Kredit",EOMONTH(B278,0),"")</f>
        <v/>
      </c>
      <c r="R278" s="17" t="str">
        <f>TEXT(B278,"dddd")</f>
        <v>Friday</v>
      </c>
    </row>
    <row r="279" spans="1:18">
      <c r="A279" s="5" t="s">
        <v>286</v>
      </c>
      <c r="B279" s="8">
        <v>46156</v>
      </c>
      <c r="C279" s="5" t="s">
        <v>978</v>
      </c>
      <c r="D279" s="5" t="s">
        <v>15</v>
      </c>
      <c r="E279" s="5" t="s">
        <v>982</v>
      </c>
      <c r="F279" s="5" t="s">
        <v>4</v>
      </c>
      <c r="G279" s="5">
        <v>5</v>
      </c>
      <c r="H279" s="5" t="s">
        <v>963</v>
      </c>
      <c r="I279" s="13">
        <v>551340895</v>
      </c>
      <c r="J279" s="10" t="s">
        <v>1262</v>
      </c>
      <c r="K279" t="str">
        <f>LEFT(C279,FIND(" ",C279)-1)&amp;"-"&amp;E279&amp;" "&amp;"Filialina çardırılma"</f>
        <v>Əli-Baki Filialina çardırılma</v>
      </c>
      <c r="L279">
        <f>VLOOKUP(D279,Anbar!$A$2:$B$5,2,FALSE)</f>
        <v>600</v>
      </c>
      <c r="M279">
        <f>VLOOKUP(D279,Anbar!$A$2:$C$5,3,FALSE)</f>
        <v>950</v>
      </c>
      <c r="N279">
        <f t="shared" si="8"/>
        <v>4750</v>
      </c>
      <c r="O279">
        <f t="shared" si="9"/>
        <v>1750</v>
      </c>
      <c r="P279" t="str">
        <f>IF(AND(F279="Nağd",G279&gt;5),M279*0.9,"0%")</f>
        <v>0%</v>
      </c>
      <c r="Q279" s="9">
        <f>IF(F279="Kredit",EOMONTH(B279,0),"")</f>
        <v>46173</v>
      </c>
      <c r="R279" s="17" t="str">
        <f>TEXT(B279,"dddd")</f>
        <v>Thursday</v>
      </c>
    </row>
    <row r="280" spans="1:18">
      <c r="A280" s="5" t="s">
        <v>287</v>
      </c>
      <c r="B280" s="8">
        <v>46145</v>
      </c>
      <c r="C280" s="5" t="s">
        <v>978</v>
      </c>
      <c r="D280" s="5" t="s">
        <v>20</v>
      </c>
      <c r="E280" s="5" t="s">
        <v>9</v>
      </c>
      <c r="F280" s="5" t="s">
        <v>4</v>
      </c>
      <c r="G280" s="5">
        <v>6</v>
      </c>
      <c r="H280" s="5" t="s">
        <v>963</v>
      </c>
      <c r="I280" s="13">
        <v>518189535</v>
      </c>
      <c r="J280" s="10" t="s">
        <v>1263</v>
      </c>
      <c r="K280" t="str">
        <f>LEFT(C280,FIND(" ",C280)-1)&amp;"-"&amp;E280&amp;" "&amp;"Filialina çardırılma"</f>
        <v>Əli-Gence Filialina çardırılma</v>
      </c>
      <c r="L280">
        <f>VLOOKUP(D280,Anbar!$A$2:$B$5,2,FALSE)</f>
        <v>15</v>
      </c>
      <c r="M280">
        <f>VLOOKUP(D280,Anbar!$A$2:$C$5,3,FALSE)</f>
        <v>45</v>
      </c>
      <c r="N280">
        <f t="shared" si="8"/>
        <v>270</v>
      </c>
      <c r="O280">
        <f t="shared" si="9"/>
        <v>180</v>
      </c>
      <c r="P280" t="str">
        <f>IF(AND(F280="Nağd",G280&gt;5),M280*0.9,"0%")</f>
        <v>0%</v>
      </c>
      <c r="Q280" s="9">
        <f>IF(F280="Kredit",EOMONTH(B280,0),"")</f>
        <v>46173</v>
      </c>
      <c r="R280" s="17" t="str">
        <f>TEXT(B280,"dddd")</f>
        <v>Sunday</v>
      </c>
    </row>
    <row r="281" spans="1:18">
      <c r="A281" s="5" t="s">
        <v>288</v>
      </c>
      <c r="B281" s="8">
        <v>46081</v>
      </c>
      <c r="C281" s="5" t="s">
        <v>977</v>
      </c>
      <c r="D281" s="5" t="s">
        <v>20</v>
      </c>
      <c r="E281" s="5" t="s">
        <v>983</v>
      </c>
      <c r="F281" s="5" t="s">
        <v>965</v>
      </c>
      <c r="G281" s="5">
        <v>10</v>
      </c>
      <c r="H281" s="5" t="s">
        <v>963</v>
      </c>
      <c r="I281" s="13">
        <v>503813109</v>
      </c>
      <c r="J281" s="10" t="s">
        <v>1264</v>
      </c>
      <c r="K281" t="str">
        <f>LEFT(C281,FIND(" ",C281)-1)&amp;"-"&amp;E281&amp;" "&amp;"Filialina çardırılma"</f>
        <v>Elnur-Naməlum Filialina çardırılma</v>
      </c>
      <c r="L281">
        <f>VLOOKUP(D281,Anbar!$A$2:$B$5,2,FALSE)</f>
        <v>15</v>
      </c>
      <c r="M281">
        <f>VLOOKUP(D281,Anbar!$A$2:$C$5,3,FALSE)</f>
        <v>45</v>
      </c>
      <c r="N281">
        <f t="shared" si="8"/>
        <v>450</v>
      </c>
      <c r="O281">
        <f t="shared" si="9"/>
        <v>300</v>
      </c>
      <c r="P281">
        <f>IF(AND(F281="Nağd",G281&gt;5),M281*0.9,"0%")</f>
        <v>40.5</v>
      </c>
      <c r="Q281" s="9" t="str">
        <f>IF(F281="Kredit",EOMONTH(B281,0),"")</f>
        <v/>
      </c>
      <c r="R281" s="17" t="str">
        <f>TEXT(B281,"dddd")</f>
        <v>Saturday</v>
      </c>
    </row>
    <row r="282" spans="1:18">
      <c r="A282" s="5" t="s">
        <v>289</v>
      </c>
      <c r="B282" s="8">
        <v>46057</v>
      </c>
      <c r="C282" s="5" t="s">
        <v>967</v>
      </c>
      <c r="D282" s="5" t="s">
        <v>971</v>
      </c>
      <c r="E282" s="5" t="s">
        <v>964</v>
      </c>
      <c r="F282" s="5" t="s">
        <v>965</v>
      </c>
      <c r="G282" s="5">
        <v>10</v>
      </c>
      <c r="H282" s="5" t="s">
        <v>963</v>
      </c>
      <c r="I282" s="13">
        <v>709119626</v>
      </c>
      <c r="J282" s="10" t="s">
        <v>1265</v>
      </c>
      <c r="K282" t="str">
        <f>LEFT(C282,FIND(" ",C282)-1)&amp;"-"&amp;E282&amp;" "&amp;"Filialina çardırılma"</f>
        <v>Aysel-Sumqayıt Filialina çardırılma</v>
      </c>
      <c r="L282">
        <f>VLOOKUP(D282,Anbar!$A$2:$B$5,2,FALSE)</f>
        <v>1200</v>
      </c>
      <c r="M282">
        <f>VLOOKUP(D282,Anbar!$A$2:$C$5,3,FALSE)</f>
        <v>1800</v>
      </c>
      <c r="N282">
        <f t="shared" si="8"/>
        <v>18000</v>
      </c>
      <c r="O282">
        <f t="shared" si="9"/>
        <v>6000</v>
      </c>
      <c r="P282">
        <f>IF(AND(F282="Nağd",G282&gt;5),M282*0.9,"0%")</f>
        <v>1620</v>
      </c>
      <c r="Q282" s="9" t="str">
        <f>IF(F282="Kredit",EOMONTH(B282,0),"")</f>
        <v/>
      </c>
      <c r="R282" s="17" t="str">
        <f>TEXT(B282,"dddd")</f>
        <v>Wednesday</v>
      </c>
    </row>
    <row r="283" spans="1:18">
      <c r="A283" s="5" t="s">
        <v>290</v>
      </c>
      <c r="B283" s="8">
        <v>46038</v>
      </c>
      <c r="C283" s="5" t="s">
        <v>975</v>
      </c>
      <c r="D283" s="5" t="s">
        <v>968</v>
      </c>
      <c r="E283" s="5" t="s">
        <v>964</v>
      </c>
      <c r="F283" s="5" t="s">
        <v>965</v>
      </c>
      <c r="G283" s="5">
        <v>4</v>
      </c>
      <c r="H283" s="5" t="s">
        <v>963</v>
      </c>
      <c r="I283" s="13">
        <v>516122786</v>
      </c>
      <c r="J283" s="10" t="s">
        <v>1266</v>
      </c>
      <c r="K283" t="str">
        <f>LEFT(C283,FIND(" ",C283)-1)&amp;"-"&amp;E283&amp;" "&amp;"Filialina çardırılma"</f>
        <v>Murad-Sumqayıt Filialina çardırılma</v>
      </c>
      <c r="L283">
        <f>VLOOKUP(D283,Anbar!$A$2:$B$5,2,FALSE)</f>
        <v>400</v>
      </c>
      <c r="M283">
        <f>VLOOKUP(D283,Anbar!$A$2:$C$5,3,FALSE)</f>
        <v>650</v>
      </c>
      <c r="N283">
        <f t="shared" si="8"/>
        <v>2600</v>
      </c>
      <c r="O283">
        <f t="shared" si="9"/>
        <v>1000</v>
      </c>
      <c r="P283" t="str">
        <f>IF(AND(F283="Nağd",G283&gt;5),M283*0.9,"0%")</f>
        <v>0%</v>
      </c>
      <c r="Q283" s="9" t="str">
        <f>IF(F283="Kredit",EOMONTH(B283,0),"")</f>
        <v/>
      </c>
      <c r="R283" s="17" t="str">
        <f>TEXT(B283,"dddd")</f>
        <v>Friday</v>
      </c>
    </row>
    <row r="284" spans="1:18">
      <c r="A284" s="5" t="s">
        <v>291</v>
      </c>
      <c r="B284" s="8">
        <v>46122</v>
      </c>
      <c r="C284" s="5" t="s">
        <v>977</v>
      </c>
      <c r="D284" s="5" t="s">
        <v>971</v>
      </c>
      <c r="E284" s="5" t="s">
        <v>9</v>
      </c>
      <c r="F284" s="5" t="s">
        <v>4</v>
      </c>
      <c r="G284" s="5">
        <v>5</v>
      </c>
      <c r="H284" s="5" t="s">
        <v>963</v>
      </c>
      <c r="I284" s="13">
        <v>550387469</v>
      </c>
      <c r="J284" s="10" t="s">
        <v>1267</v>
      </c>
      <c r="K284" t="str">
        <f>LEFT(C284,FIND(" ",C284)-1)&amp;"-"&amp;E284&amp;" "&amp;"Filialina çardırılma"</f>
        <v>Elnur-Gence Filialina çardırılma</v>
      </c>
      <c r="L284">
        <f>VLOOKUP(D284,Anbar!$A$2:$B$5,2,FALSE)</f>
        <v>1200</v>
      </c>
      <c r="M284">
        <f>VLOOKUP(D284,Anbar!$A$2:$C$5,3,FALSE)</f>
        <v>1800</v>
      </c>
      <c r="N284">
        <f t="shared" si="8"/>
        <v>9000</v>
      </c>
      <c r="O284">
        <f t="shared" si="9"/>
        <v>3000</v>
      </c>
      <c r="P284" t="str">
        <f>IF(AND(F284="Nağd",G284&gt;5),M284*0.9,"0%")</f>
        <v>0%</v>
      </c>
      <c r="Q284" s="9">
        <f>IF(F284="Kredit",EOMONTH(B284,0),"")</f>
        <v>46142</v>
      </c>
      <c r="R284" s="17" t="str">
        <f>TEXT(B284,"dddd")</f>
        <v>Friday</v>
      </c>
    </row>
    <row r="285" spans="1:18">
      <c r="A285" s="5" t="s">
        <v>292</v>
      </c>
      <c r="B285" s="8">
        <v>46082</v>
      </c>
      <c r="C285" s="5" t="s">
        <v>978</v>
      </c>
      <c r="D285" s="5" t="s">
        <v>20</v>
      </c>
      <c r="E285" s="5" t="s">
        <v>980</v>
      </c>
      <c r="F285" s="5" t="s">
        <v>4</v>
      </c>
      <c r="G285" s="5">
        <v>9</v>
      </c>
      <c r="H285" s="5" t="s">
        <v>963</v>
      </c>
      <c r="I285" s="13">
        <v>559384622</v>
      </c>
      <c r="J285" s="10" t="s">
        <v>1268</v>
      </c>
      <c r="K285" t="str">
        <f>LEFT(C285,FIND(" ",C285)-1)&amp;"-"&amp;E285&amp;" "&amp;"Filialina çardırılma"</f>
        <v>Əli-Sumqayit Filialina çardırılma</v>
      </c>
      <c r="L285">
        <f>VLOOKUP(D285,Anbar!$A$2:$B$5,2,FALSE)</f>
        <v>15</v>
      </c>
      <c r="M285">
        <f>VLOOKUP(D285,Anbar!$A$2:$C$5,3,FALSE)</f>
        <v>45</v>
      </c>
      <c r="N285">
        <f t="shared" si="8"/>
        <v>405</v>
      </c>
      <c r="O285">
        <f t="shared" si="9"/>
        <v>270</v>
      </c>
      <c r="P285" t="str">
        <f>IF(AND(F285="Nağd",G285&gt;5),M285*0.9,"0%")</f>
        <v>0%</v>
      </c>
      <c r="Q285" s="9">
        <f>IF(F285="Kredit",EOMONTH(B285,0),"")</f>
        <v>46112</v>
      </c>
      <c r="R285" s="17" t="str">
        <f>TEXT(B285,"dddd")</f>
        <v>Sunday</v>
      </c>
    </row>
    <row r="286" spans="1:18">
      <c r="A286" s="5" t="s">
        <v>293</v>
      </c>
      <c r="B286" s="8">
        <v>46110</v>
      </c>
      <c r="C286" s="5" t="s">
        <v>977</v>
      </c>
      <c r="D286" s="5" t="s">
        <v>971</v>
      </c>
      <c r="E286" s="5" t="s">
        <v>982</v>
      </c>
      <c r="F286" s="5" t="s">
        <v>7</v>
      </c>
      <c r="G286" s="5">
        <v>2</v>
      </c>
      <c r="H286" s="5" t="s">
        <v>963</v>
      </c>
      <c r="I286" s="13">
        <v>511352898</v>
      </c>
      <c r="J286" s="10" t="s">
        <v>1269</v>
      </c>
      <c r="K286" t="str">
        <f>LEFT(C286,FIND(" ",C286)-1)&amp;"-"&amp;E286&amp;" "&amp;"Filialina çardırılma"</f>
        <v>Elnur-Baki Filialina çardırılma</v>
      </c>
      <c r="L286">
        <f>VLOOKUP(D286,Anbar!$A$2:$B$5,2,FALSE)</f>
        <v>1200</v>
      </c>
      <c r="M286">
        <f>VLOOKUP(D286,Anbar!$A$2:$C$5,3,FALSE)</f>
        <v>1800</v>
      </c>
      <c r="N286">
        <f t="shared" si="8"/>
        <v>3600</v>
      </c>
      <c r="O286">
        <f t="shared" si="9"/>
        <v>1200</v>
      </c>
      <c r="P286" t="str">
        <f>IF(AND(F286="Nağd",G286&gt;5),M286*0.9,"0%")</f>
        <v>0%</v>
      </c>
      <c r="Q286" s="9" t="str">
        <f>IF(F286="Kredit",EOMONTH(B286,0),"")</f>
        <v/>
      </c>
      <c r="R286" s="17" t="str">
        <f>TEXT(B286,"dddd")</f>
        <v>Sunday</v>
      </c>
    </row>
    <row r="287" spans="1:18">
      <c r="A287" s="5" t="s">
        <v>294</v>
      </c>
      <c r="B287" s="8">
        <v>46171</v>
      </c>
      <c r="C287" s="5" t="s">
        <v>6</v>
      </c>
      <c r="D287" s="5" t="s">
        <v>15</v>
      </c>
      <c r="E287" s="5" t="s">
        <v>964</v>
      </c>
      <c r="F287" s="5" t="s">
        <v>4</v>
      </c>
      <c r="G287" s="5">
        <v>6</v>
      </c>
      <c r="H287" s="5" t="s">
        <v>963</v>
      </c>
      <c r="I287" s="13">
        <v>550126414</v>
      </c>
      <c r="J287" s="10" t="s">
        <v>1270</v>
      </c>
      <c r="K287" t="str">
        <f>LEFT(C287,FIND(" ",C287)-1)&amp;"-"&amp;E287&amp;" "&amp;"Filialina çardırılma"</f>
        <v>Zaur-Sumqayıt Filialina çardırılma</v>
      </c>
      <c r="L287">
        <f>VLOOKUP(D287,Anbar!$A$2:$B$5,2,FALSE)</f>
        <v>600</v>
      </c>
      <c r="M287">
        <f>VLOOKUP(D287,Anbar!$A$2:$C$5,3,FALSE)</f>
        <v>950</v>
      </c>
      <c r="N287">
        <f t="shared" si="8"/>
        <v>5700</v>
      </c>
      <c r="O287">
        <f t="shared" si="9"/>
        <v>2100</v>
      </c>
      <c r="P287" t="str">
        <f>IF(AND(F287="Nağd",G287&gt;5),M287*0.9,"0%")</f>
        <v>0%</v>
      </c>
      <c r="Q287" s="9">
        <f>IF(F287="Kredit",EOMONTH(B287,0),"")</f>
        <v>46173</v>
      </c>
      <c r="R287" s="17" t="str">
        <f>TEXT(B287,"dddd")</f>
        <v>Friday</v>
      </c>
    </row>
    <row r="288" spans="1:18">
      <c r="A288" s="5" t="s">
        <v>295</v>
      </c>
      <c r="B288" s="8">
        <v>46130</v>
      </c>
      <c r="C288" s="5" t="s">
        <v>6</v>
      </c>
      <c r="D288" s="5" t="s">
        <v>971</v>
      </c>
      <c r="E288" s="5" t="s">
        <v>981</v>
      </c>
      <c r="F288" s="5" t="s">
        <v>965</v>
      </c>
      <c r="G288" s="5">
        <v>7</v>
      </c>
      <c r="H288" s="5" t="s">
        <v>963</v>
      </c>
      <c r="I288" s="13">
        <v>508988359</v>
      </c>
      <c r="J288" s="10" t="s">
        <v>1271</v>
      </c>
      <c r="K288" t="str">
        <f>LEFT(C288,FIND(" ",C288)-1)&amp;"-"&amp;E288&amp;" "&amp;"Filialina çardırılma"</f>
        <v>Zaur-Gəncə Filialina çardırılma</v>
      </c>
      <c r="L288">
        <f>VLOOKUP(D288,Anbar!$A$2:$B$5,2,FALSE)</f>
        <v>1200</v>
      </c>
      <c r="M288">
        <f>VLOOKUP(D288,Anbar!$A$2:$C$5,3,FALSE)</f>
        <v>1800</v>
      </c>
      <c r="N288">
        <f t="shared" si="8"/>
        <v>12600</v>
      </c>
      <c r="O288">
        <f t="shared" si="9"/>
        <v>4200</v>
      </c>
      <c r="P288">
        <f>IF(AND(F288="Nağd",G288&gt;5),M288*0.9,"0%")</f>
        <v>1620</v>
      </c>
      <c r="Q288" s="9" t="str">
        <f>IF(F288="Kredit",EOMONTH(B288,0),"")</f>
        <v/>
      </c>
      <c r="R288" s="17" t="str">
        <f>TEXT(B288,"dddd")</f>
        <v>Saturday</v>
      </c>
    </row>
    <row r="289" spans="1:18">
      <c r="A289" s="5" t="s">
        <v>296</v>
      </c>
      <c r="B289" s="8">
        <v>46058</v>
      </c>
      <c r="C289" s="5" t="s">
        <v>978</v>
      </c>
      <c r="D289" s="5" t="s">
        <v>971</v>
      </c>
      <c r="E289" s="5" t="s">
        <v>980</v>
      </c>
      <c r="F289" s="5" t="s">
        <v>965</v>
      </c>
      <c r="G289" s="5">
        <v>4</v>
      </c>
      <c r="H289" s="5" t="s">
        <v>963</v>
      </c>
      <c r="I289" s="13">
        <v>771722716</v>
      </c>
      <c r="J289" s="10" t="s">
        <v>1272</v>
      </c>
      <c r="K289" t="str">
        <f>LEFT(C289,FIND(" ",C289)-1)&amp;"-"&amp;E289&amp;" "&amp;"Filialina çardırılma"</f>
        <v>Əli-Sumqayit Filialina çardırılma</v>
      </c>
      <c r="L289">
        <f>VLOOKUP(D289,Anbar!$A$2:$B$5,2,FALSE)</f>
        <v>1200</v>
      </c>
      <c r="M289">
        <f>VLOOKUP(D289,Anbar!$A$2:$C$5,3,FALSE)</f>
        <v>1800</v>
      </c>
      <c r="N289">
        <f t="shared" si="8"/>
        <v>7200</v>
      </c>
      <c r="O289">
        <f t="shared" si="9"/>
        <v>2400</v>
      </c>
      <c r="P289" t="str">
        <f>IF(AND(F289="Nağd",G289&gt;5),M289*0.9,"0%")</f>
        <v>0%</v>
      </c>
      <c r="Q289" s="9" t="str">
        <f>IF(F289="Kredit",EOMONTH(B289,0),"")</f>
        <v/>
      </c>
      <c r="R289" s="17" t="str">
        <f>TEXT(B289,"dddd")</f>
        <v>Thursday</v>
      </c>
    </row>
    <row r="290" spans="1:18">
      <c r="A290" s="5" t="s">
        <v>297</v>
      </c>
      <c r="B290" s="8">
        <v>46130</v>
      </c>
      <c r="C290" s="5" t="s">
        <v>975</v>
      </c>
      <c r="D290" s="5" t="s">
        <v>15</v>
      </c>
      <c r="E290" s="5" t="s">
        <v>964</v>
      </c>
      <c r="F290" s="5" t="s">
        <v>965</v>
      </c>
      <c r="G290" s="5">
        <v>3</v>
      </c>
      <c r="H290" s="5" t="s">
        <v>963</v>
      </c>
      <c r="I290" s="13">
        <v>700452933</v>
      </c>
      <c r="J290" s="10" t="s">
        <v>1273</v>
      </c>
      <c r="K290" t="str">
        <f>LEFT(C290,FIND(" ",C290)-1)&amp;"-"&amp;E290&amp;" "&amp;"Filialina çardırılma"</f>
        <v>Murad-Sumqayıt Filialina çardırılma</v>
      </c>
      <c r="L290">
        <f>VLOOKUP(D290,Anbar!$A$2:$B$5,2,FALSE)</f>
        <v>600</v>
      </c>
      <c r="M290">
        <f>VLOOKUP(D290,Anbar!$A$2:$C$5,3,FALSE)</f>
        <v>950</v>
      </c>
      <c r="N290">
        <f t="shared" si="8"/>
        <v>2850</v>
      </c>
      <c r="O290">
        <f t="shared" si="9"/>
        <v>1050</v>
      </c>
      <c r="P290" t="str">
        <f>IF(AND(F290="Nağd",G290&gt;5),M290*0.9,"0%")</f>
        <v>0%</v>
      </c>
      <c r="Q290" s="9" t="str">
        <f>IF(F290="Kredit",EOMONTH(B290,0),"")</f>
        <v/>
      </c>
      <c r="R290" s="17" t="str">
        <f>TEXT(B290,"dddd")</f>
        <v>Saturday</v>
      </c>
    </row>
    <row r="291" spans="1:18">
      <c r="A291" s="5" t="s">
        <v>298</v>
      </c>
      <c r="B291" s="8">
        <v>46040</v>
      </c>
      <c r="C291" s="5" t="s">
        <v>978</v>
      </c>
      <c r="D291" s="5" t="s">
        <v>971</v>
      </c>
      <c r="E291" s="5" t="s">
        <v>966</v>
      </c>
      <c r="F291" s="5" t="s">
        <v>7</v>
      </c>
      <c r="G291" s="5">
        <v>2</v>
      </c>
      <c r="H291" s="5" t="s">
        <v>963</v>
      </c>
      <c r="I291" s="13">
        <v>776949677</v>
      </c>
      <c r="J291" s="10" t="s">
        <v>1274</v>
      </c>
      <c r="K291" t="str">
        <f>LEFT(C291,FIND(" ",C291)-1)&amp;"-"&amp;E291&amp;" "&amp;"Filialina çardırılma"</f>
        <v>Əli-Bakı Filialina çardırılma</v>
      </c>
      <c r="L291">
        <f>VLOOKUP(D291,Anbar!$A$2:$B$5,2,FALSE)</f>
        <v>1200</v>
      </c>
      <c r="M291">
        <f>VLOOKUP(D291,Anbar!$A$2:$C$5,3,FALSE)</f>
        <v>1800</v>
      </c>
      <c r="N291">
        <f t="shared" si="8"/>
        <v>3600</v>
      </c>
      <c r="O291">
        <f t="shared" si="9"/>
        <v>1200</v>
      </c>
      <c r="P291" t="str">
        <f>IF(AND(F291="Nağd",G291&gt;5),M291*0.9,"0%")</f>
        <v>0%</v>
      </c>
      <c r="Q291" s="9" t="str">
        <f>IF(F291="Kredit",EOMONTH(B291,0),"")</f>
        <v/>
      </c>
      <c r="R291" s="17" t="str">
        <f>TEXT(B291,"dddd")</f>
        <v>Sunday</v>
      </c>
    </row>
    <row r="292" spans="1:18">
      <c r="A292" s="5" t="s">
        <v>299</v>
      </c>
      <c r="B292" s="8">
        <v>46104</v>
      </c>
      <c r="C292" s="5" t="s">
        <v>6</v>
      </c>
      <c r="D292" s="5" t="s">
        <v>20</v>
      </c>
      <c r="E292" s="5" t="s">
        <v>982</v>
      </c>
      <c r="F292" s="5" t="s">
        <v>965</v>
      </c>
      <c r="G292" s="5">
        <v>3</v>
      </c>
      <c r="H292" s="5" t="s">
        <v>963</v>
      </c>
      <c r="I292" s="13">
        <v>774727451</v>
      </c>
      <c r="J292" s="10" t="s">
        <v>1275</v>
      </c>
      <c r="K292" t="str">
        <f>LEFT(C292,FIND(" ",C292)-1)&amp;"-"&amp;E292&amp;" "&amp;"Filialina çardırılma"</f>
        <v>Zaur-Baki Filialina çardırılma</v>
      </c>
      <c r="L292">
        <f>VLOOKUP(D292,Anbar!$A$2:$B$5,2,FALSE)</f>
        <v>15</v>
      </c>
      <c r="M292">
        <f>VLOOKUP(D292,Anbar!$A$2:$C$5,3,FALSE)</f>
        <v>45</v>
      </c>
      <c r="N292">
        <f t="shared" si="8"/>
        <v>135</v>
      </c>
      <c r="O292">
        <f t="shared" si="9"/>
        <v>90</v>
      </c>
      <c r="P292" t="str">
        <f>IF(AND(F292="Nağd",G292&gt;5),M292*0.9,"0%")</f>
        <v>0%</v>
      </c>
      <c r="Q292" s="9" t="str">
        <f>IF(F292="Kredit",EOMONTH(B292,0),"")</f>
        <v/>
      </c>
      <c r="R292" s="17" t="str">
        <f>TEXT(B292,"dddd")</f>
        <v>Monday</v>
      </c>
    </row>
    <row r="293" spans="1:18">
      <c r="A293" s="5" t="s">
        <v>300</v>
      </c>
      <c r="B293" s="8">
        <v>46176</v>
      </c>
      <c r="C293" s="5" t="s">
        <v>979</v>
      </c>
      <c r="D293" s="5" t="s">
        <v>20</v>
      </c>
      <c r="E293" s="5" t="s">
        <v>966</v>
      </c>
      <c r="F293" s="5" t="s">
        <v>965</v>
      </c>
      <c r="G293" s="5">
        <v>2</v>
      </c>
      <c r="H293" s="5" t="s">
        <v>963</v>
      </c>
      <c r="I293" s="13">
        <v>504993555</v>
      </c>
      <c r="J293" s="10" t="s">
        <v>1276</v>
      </c>
      <c r="K293" t="str">
        <f>LEFT(C293,FIND(" ",C293)-1)&amp;"-"&amp;E293&amp;" "&amp;"Filialina çardırılma"</f>
        <v>Leyla-Bakı Filialina çardırılma</v>
      </c>
      <c r="L293">
        <f>VLOOKUP(D293,Anbar!$A$2:$B$5,2,FALSE)</f>
        <v>15</v>
      </c>
      <c r="M293">
        <f>VLOOKUP(D293,Anbar!$A$2:$C$5,3,FALSE)</f>
        <v>45</v>
      </c>
      <c r="N293">
        <f t="shared" si="8"/>
        <v>90</v>
      </c>
      <c r="O293">
        <f t="shared" si="9"/>
        <v>60</v>
      </c>
      <c r="P293" t="str">
        <f>IF(AND(F293="Nağd",G293&gt;5),M293*0.9,"0%")</f>
        <v>0%</v>
      </c>
      <c r="Q293" s="9" t="str">
        <f>IF(F293="Kredit",EOMONTH(B293,0),"")</f>
        <v/>
      </c>
      <c r="R293" s="17" t="str">
        <f>TEXT(B293,"dddd")</f>
        <v>Wednesday</v>
      </c>
    </row>
    <row r="294" spans="1:18">
      <c r="A294" s="5" t="s">
        <v>301</v>
      </c>
      <c r="B294" s="8">
        <v>46110</v>
      </c>
      <c r="C294" s="5" t="s">
        <v>6</v>
      </c>
      <c r="D294" s="5" t="s">
        <v>971</v>
      </c>
      <c r="E294" s="5" t="s">
        <v>982</v>
      </c>
      <c r="F294" s="5" t="s">
        <v>4</v>
      </c>
      <c r="G294" s="5">
        <v>4</v>
      </c>
      <c r="H294" s="5" t="s">
        <v>963</v>
      </c>
      <c r="I294" s="13">
        <v>709045264</v>
      </c>
      <c r="J294" s="10" t="s">
        <v>1277</v>
      </c>
      <c r="K294" t="str">
        <f>LEFT(C294,FIND(" ",C294)-1)&amp;"-"&amp;E294&amp;" "&amp;"Filialina çardırılma"</f>
        <v>Zaur-Baki Filialina çardırılma</v>
      </c>
      <c r="L294">
        <f>VLOOKUP(D294,Anbar!$A$2:$B$5,2,FALSE)</f>
        <v>1200</v>
      </c>
      <c r="M294">
        <f>VLOOKUP(D294,Anbar!$A$2:$C$5,3,FALSE)</f>
        <v>1800</v>
      </c>
      <c r="N294">
        <f t="shared" si="8"/>
        <v>7200</v>
      </c>
      <c r="O294">
        <f t="shared" si="9"/>
        <v>2400</v>
      </c>
      <c r="P294" t="str">
        <f>IF(AND(F294="Nağd",G294&gt;5),M294*0.9,"0%")</f>
        <v>0%</v>
      </c>
      <c r="Q294" s="9">
        <f>IF(F294="Kredit",EOMONTH(B294,0),"")</f>
        <v>46112</v>
      </c>
      <c r="R294" s="17" t="str">
        <f>TEXT(B294,"dddd")</f>
        <v>Sunday</v>
      </c>
    </row>
    <row r="295" spans="1:18">
      <c r="A295" s="5" t="s">
        <v>302</v>
      </c>
      <c r="B295" s="8">
        <v>46063</v>
      </c>
      <c r="C295" s="5" t="s">
        <v>979</v>
      </c>
      <c r="D295" s="5" t="s">
        <v>968</v>
      </c>
      <c r="E295" s="5" t="s">
        <v>980</v>
      </c>
      <c r="F295" s="5" t="s">
        <v>4</v>
      </c>
      <c r="G295" s="5">
        <v>2</v>
      </c>
      <c r="H295" s="5" t="s">
        <v>963</v>
      </c>
      <c r="I295" s="13">
        <v>770046544</v>
      </c>
      <c r="J295" s="10" t="s">
        <v>1278</v>
      </c>
      <c r="K295" t="str">
        <f>LEFT(C295,FIND(" ",C295)-1)&amp;"-"&amp;E295&amp;" "&amp;"Filialina çardırılma"</f>
        <v>Leyla-Sumqayit Filialina çardırılma</v>
      </c>
      <c r="L295">
        <f>VLOOKUP(D295,Anbar!$A$2:$B$5,2,FALSE)</f>
        <v>400</v>
      </c>
      <c r="M295">
        <f>VLOOKUP(D295,Anbar!$A$2:$C$5,3,FALSE)</f>
        <v>650</v>
      </c>
      <c r="N295">
        <f t="shared" si="8"/>
        <v>1300</v>
      </c>
      <c r="O295">
        <f t="shared" si="9"/>
        <v>500</v>
      </c>
      <c r="P295" t="str">
        <f>IF(AND(F295="Nağd",G295&gt;5),M295*0.9,"0%")</f>
        <v>0%</v>
      </c>
      <c r="Q295" s="9">
        <f>IF(F295="Kredit",EOMONTH(B295,0),"")</f>
        <v>46081</v>
      </c>
      <c r="R295" s="17" t="str">
        <f>TEXT(B295,"dddd")</f>
        <v>Tuesday</v>
      </c>
    </row>
    <row r="296" spans="1:18">
      <c r="A296" s="5" t="s">
        <v>303</v>
      </c>
      <c r="B296" s="8">
        <v>46108</v>
      </c>
      <c r="C296" s="5" t="s">
        <v>976</v>
      </c>
      <c r="D296" s="5" t="s">
        <v>20</v>
      </c>
      <c r="E296" s="5" t="s">
        <v>966</v>
      </c>
      <c r="F296" s="5" t="s">
        <v>965</v>
      </c>
      <c r="G296" s="5">
        <v>2</v>
      </c>
      <c r="H296" s="5" t="s">
        <v>963</v>
      </c>
      <c r="I296" s="13">
        <v>519819474</v>
      </c>
      <c r="J296" s="10" t="s">
        <v>1279</v>
      </c>
      <c r="K296" t="str">
        <f>LEFT(C296,FIND(" ",C296)-1)&amp;"-"&amp;E296&amp;" "&amp;"Filialina çardırılma"</f>
        <v>Nərgin-Bakı Filialina çardırılma</v>
      </c>
      <c r="L296">
        <f>VLOOKUP(D296,Anbar!$A$2:$B$5,2,FALSE)</f>
        <v>15</v>
      </c>
      <c r="M296">
        <f>VLOOKUP(D296,Anbar!$A$2:$C$5,3,FALSE)</f>
        <v>45</v>
      </c>
      <c r="N296">
        <f t="shared" si="8"/>
        <v>90</v>
      </c>
      <c r="O296">
        <f t="shared" si="9"/>
        <v>60</v>
      </c>
      <c r="P296" t="str">
        <f>IF(AND(F296="Nağd",G296&gt;5),M296*0.9,"0%")</f>
        <v>0%</v>
      </c>
      <c r="Q296" s="9" t="str">
        <f>IF(F296="Kredit",EOMONTH(B296,0),"")</f>
        <v/>
      </c>
      <c r="R296" s="17" t="str">
        <f>TEXT(B296,"dddd")</f>
        <v>Friday</v>
      </c>
    </row>
    <row r="297" spans="1:18">
      <c r="A297" s="5" t="s">
        <v>304</v>
      </c>
      <c r="B297" s="8">
        <v>46075</v>
      </c>
      <c r="C297" s="5" t="s">
        <v>979</v>
      </c>
      <c r="D297" s="5" t="s">
        <v>20</v>
      </c>
      <c r="E297" s="5" t="s">
        <v>980</v>
      </c>
      <c r="F297" s="5" t="s">
        <v>965</v>
      </c>
      <c r="G297" s="5">
        <v>7</v>
      </c>
      <c r="H297" s="5" t="s">
        <v>963</v>
      </c>
      <c r="I297" s="13">
        <v>515283376</v>
      </c>
      <c r="J297" s="10" t="s">
        <v>1280</v>
      </c>
      <c r="K297" t="str">
        <f>LEFT(C297,FIND(" ",C297)-1)&amp;"-"&amp;E297&amp;" "&amp;"Filialina çardırılma"</f>
        <v>Leyla-Sumqayit Filialina çardırılma</v>
      </c>
      <c r="L297">
        <f>VLOOKUP(D297,Anbar!$A$2:$B$5,2,FALSE)</f>
        <v>15</v>
      </c>
      <c r="M297">
        <f>VLOOKUP(D297,Anbar!$A$2:$C$5,3,FALSE)</f>
        <v>45</v>
      </c>
      <c r="N297">
        <f t="shared" si="8"/>
        <v>315</v>
      </c>
      <c r="O297">
        <f t="shared" si="9"/>
        <v>210</v>
      </c>
      <c r="P297">
        <f>IF(AND(F297="Nağd",G297&gt;5),M297*0.9,"0%")</f>
        <v>40.5</v>
      </c>
      <c r="Q297" s="9" t="str">
        <f>IF(F297="Kredit",EOMONTH(B297,0),"")</f>
        <v/>
      </c>
      <c r="R297" s="17" t="str">
        <f>TEXT(B297,"dddd")</f>
        <v>Sunday</v>
      </c>
    </row>
    <row r="298" spans="1:18">
      <c r="A298" s="5" t="s">
        <v>305</v>
      </c>
      <c r="B298" s="8">
        <v>46055</v>
      </c>
      <c r="C298" s="5" t="s">
        <v>975</v>
      </c>
      <c r="D298" s="5" t="s">
        <v>20</v>
      </c>
      <c r="E298" s="5" t="s">
        <v>9</v>
      </c>
      <c r="F298" s="5" t="s">
        <v>965</v>
      </c>
      <c r="G298" s="5">
        <v>2</v>
      </c>
      <c r="H298" s="5" t="s">
        <v>963</v>
      </c>
      <c r="I298" s="13">
        <v>506106218</v>
      </c>
      <c r="J298" s="10" t="s">
        <v>1281</v>
      </c>
      <c r="K298" t="str">
        <f>LEFT(C298,FIND(" ",C298)-1)&amp;"-"&amp;E298&amp;" "&amp;"Filialina çardırılma"</f>
        <v>Murad-Gence Filialina çardırılma</v>
      </c>
      <c r="L298">
        <f>VLOOKUP(D298,Anbar!$A$2:$B$5,2,FALSE)</f>
        <v>15</v>
      </c>
      <c r="M298">
        <f>VLOOKUP(D298,Anbar!$A$2:$C$5,3,FALSE)</f>
        <v>45</v>
      </c>
      <c r="N298">
        <f t="shared" si="8"/>
        <v>90</v>
      </c>
      <c r="O298">
        <f t="shared" si="9"/>
        <v>60</v>
      </c>
      <c r="P298" t="str">
        <f>IF(AND(F298="Nağd",G298&gt;5),M298*0.9,"0%")</f>
        <v>0%</v>
      </c>
      <c r="Q298" s="9" t="str">
        <f>IF(F298="Kredit",EOMONTH(B298,0),"")</f>
        <v/>
      </c>
      <c r="R298" s="17" t="str">
        <f>TEXT(B298,"dddd")</f>
        <v>Monday</v>
      </c>
    </row>
    <row r="299" spans="1:18">
      <c r="A299" s="5" t="s">
        <v>306</v>
      </c>
      <c r="B299" s="8">
        <v>46169</v>
      </c>
      <c r="C299" s="5" t="s">
        <v>979</v>
      </c>
      <c r="D299" s="5" t="s">
        <v>15</v>
      </c>
      <c r="E299" s="5" t="s">
        <v>966</v>
      </c>
      <c r="F299" s="5" t="s">
        <v>965</v>
      </c>
      <c r="G299" s="5">
        <v>6</v>
      </c>
      <c r="H299" s="5" t="s">
        <v>963</v>
      </c>
      <c r="I299" s="13">
        <v>700902446</v>
      </c>
      <c r="J299" s="10" t="s">
        <v>1282</v>
      </c>
      <c r="K299" t="str">
        <f>LEFT(C299,FIND(" ",C299)-1)&amp;"-"&amp;E299&amp;" "&amp;"Filialina çardırılma"</f>
        <v>Leyla-Bakı Filialina çardırılma</v>
      </c>
      <c r="L299">
        <f>VLOOKUP(D299,Anbar!$A$2:$B$5,2,FALSE)</f>
        <v>600</v>
      </c>
      <c r="M299">
        <f>VLOOKUP(D299,Anbar!$A$2:$C$5,3,FALSE)</f>
        <v>950</v>
      </c>
      <c r="N299">
        <f t="shared" si="8"/>
        <v>5700</v>
      </c>
      <c r="O299">
        <f t="shared" si="9"/>
        <v>2100</v>
      </c>
      <c r="P299">
        <f>IF(AND(F299="Nağd",G299&gt;5),M299*0.9,"0%")</f>
        <v>855</v>
      </c>
      <c r="Q299" s="9" t="str">
        <f>IF(F299="Kredit",EOMONTH(B299,0),"")</f>
        <v/>
      </c>
      <c r="R299" s="17" t="str">
        <f>TEXT(B299,"dddd")</f>
        <v>Wednesday</v>
      </c>
    </row>
    <row r="300" spans="1:18">
      <c r="A300" s="5" t="s">
        <v>307</v>
      </c>
      <c r="B300" s="8">
        <v>46111</v>
      </c>
      <c r="C300" s="5" t="s">
        <v>978</v>
      </c>
      <c r="D300" s="5" t="s">
        <v>971</v>
      </c>
      <c r="E300" s="5" t="s">
        <v>981</v>
      </c>
      <c r="F300" s="5" t="s">
        <v>4</v>
      </c>
      <c r="G300" s="5">
        <v>1</v>
      </c>
      <c r="H300" s="5" t="s">
        <v>963</v>
      </c>
      <c r="I300" s="13">
        <v>519469142</v>
      </c>
      <c r="J300" s="10" t="s">
        <v>1283</v>
      </c>
      <c r="K300" t="str">
        <f>LEFT(C300,FIND(" ",C300)-1)&amp;"-"&amp;E300&amp;" "&amp;"Filialina çardırılma"</f>
        <v>Əli-Gəncə Filialina çardırılma</v>
      </c>
      <c r="L300">
        <f>VLOOKUP(D300,Anbar!$A$2:$B$5,2,FALSE)</f>
        <v>1200</v>
      </c>
      <c r="M300">
        <f>VLOOKUP(D300,Anbar!$A$2:$C$5,3,FALSE)</f>
        <v>1800</v>
      </c>
      <c r="N300">
        <f t="shared" si="8"/>
        <v>1800</v>
      </c>
      <c r="O300">
        <f t="shared" si="9"/>
        <v>600</v>
      </c>
      <c r="P300" t="str">
        <f>IF(AND(F300="Nağd",G300&gt;5),M300*0.9,"0%")</f>
        <v>0%</v>
      </c>
      <c r="Q300" s="9">
        <f>IF(F300="Kredit",EOMONTH(B300,0),"")</f>
        <v>46112</v>
      </c>
      <c r="R300" s="17" t="str">
        <f>TEXT(B300,"dddd")</f>
        <v>Monday</v>
      </c>
    </row>
    <row r="301" spans="1:18">
      <c r="A301" s="5" t="s">
        <v>308</v>
      </c>
      <c r="B301" s="8">
        <v>46143</v>
      </c>
      <c r="C301" s="5" t="s">
        <v>967</v>
      </c>
      <c r="D301" s="5" t="s">
        <v>20</v>
      </c>
      <c r="E301" s="5" t="s">
        <v>964</v>
      </c>
      <c r="F301" s="5" t="s">
        <v>983</v>
      </c>
      <c r="G301" s="5">
        <v>10</v>
      </c>
      <c r="H301" s="5" t="s">
        <v>963</v>
      </c>
      <c r="I301" s="13">
        <v>709694520</v>
      </c>
      <c r="J301" s="10" t="s">
        <v>1284</v>
      </c>
      <c r="K301" t="str">
        <f>LEFT(C301,FIND(" ",C301)-1)&amp;"-"&amp;E301&amp;" "&amp;"Filialina çardırılma"</f>
        <v>Aysel-Sumqayıt Filialina çardırılma</v>
      </c>
      <c r="L301">
        <f>VLOOKUP(D301,Anbar!$A$2:$B$5,2,FALSE)</f>
        <v>15</v>
      </c>
      <c r="M301">
        <f>VLOOKUP(D301,Anbar!$A$2:$C$5,3,FALSE)</f>
        <v>45</v>
      </c>
      <c r="N301">
        <f t="shared" si="8"/>
        <v>450</v>
      </c>
      <c r="O301">
        <f t="shared" si="9"/>
        <v>300</v>
      </c>
      <c r="P301" t="str">
        <f>IF(AND(F301="Nağd",G301&gt;5),M301*0.9,"0%")</f>
        <v>0%</v>
      </c>
      <c r="Q301" s="9" t="str">
        <f>IF(F301="Kredit",EOMONTH(B301,0),"")</f>
        <v/>
      </c>
      <c r="R301" s="17" t="str">
        <f>TEXT(B301,"dddd")</f>
        <v>Friday</v>
      </c>
    </row>
    <row r="302" spans="1:18">
      <c r="A302" s="5" t="s">
        <v>309</v>
      </c>
      <c r="B302" s="8">
        <v>46064</v>
      </c>
      <c r="C302" s="5" t="s">
        <v>967</v>
      </c>
      <c r="D302" s="5" t="s">
        <v>971</v>
      </c>
      <c r="E302" s="5" t="s">
        <v>982</v>
      </c>
      <c r="F302" s="5" t="s">
        <v>7</v>
      </c>
      <c r="G302" s="5">
        <v>2</v>
      </c>
      <c r="H302" s="5" t="s">
        <v>963</v>
      </c>
      <c r="I302" s="13">
        <v>510543471</v>
      </c>
      <c r="J302" s="10" t="s">
        <v>1285</v>
      </c>
      <c r="K302" t="str">
        <f>LEFT(C302,FIND(" ",C302)-1)&amp;"-"&amp;E302&amp;" "&amp;"Filialina çardırılma"</f>
        <v>Aysel-Baki Filialina çardırılma</v>
      </c>
      <c r="L302">
        <f>VLOOKUP(D302,Anbar!$A$2:$B$5,2,FALSE)</f>
        <v>1200</v>
      </c>
      <c r="M302">
        <f>VLOOKUP(D302,Anbar!$A$2:$C$5,3,FALSE)</f>
        <v>1800</v>
      </c>
      <c r="N302">
        <f t="shared" si="8"/>
        <v>3600</v>
      </c>
      <c r="O302">
        <f t="shared" si="9"/>
        <v>1200</v>
      </c>
      <c r="P302" t="str">
        <f>IF(AND(F302="Nağd",G302&gt;5),M302*0.9,"0%")</f>
        <v>0%</v>
      </c>
      <c r="Q302" s="9" t="str">
        <f>IF(F302="Kredit",EOMONTH(B302,0),"")</f>
        <v/>
      </c>
      <c r="R302" s="17" t="str">
        <f>TEXT(B302,"dddd")</f>
        <v>Wednesday</v>
      </c>
    </row>
    <row r="303" spans="1:18">
      <c r="A303" s="5" t="s">
        <v>310</v>
      </c>
      <c r="B303" s="8">
        <v>46172</v>
      </c>
      <c r="C303" s="5" t="s">
        <v>979</v>
      </c>
      <c r="D303" s="5" t="s">
        <v>20</v>
      </c>
      <c r="E303" s="5" t="s">
        <v>982</v>
      </c>
      <c r="F303" s="5" t="s">
        <v>965</v>
      </c>
      <c r="G303" s="5">
        <v>3</v>
      </c>
      <c r="H303" s="5" t="s">
        <v>963</v>
      </c>
      <c r="I303" s="13">
        <v>776833674</v>
      </c>
      <c r="J303" s="10" t="s">
        <v>1286</v>
      </c>
      <c r="K303" t="str">
        <f>LEFT(C303,FIND(" ",C303)-1)&amp;"-"&amp;E303&amp;" "&amp;"Filialina çardırılma"</f>
        <v>Leyla-Baki Filialina çardırılma</v>
      </c>
      <c r="L303">
        <f>VLOOKUP(D303,Anbar!$A$2:$B$5,2,FALSE)</f>
        <v>15</v>
      </c>
      <c r="M303">
        <f>VLOOKUP(D303,Anbar!$A$2:$C$5,3,FALSE)</f>
        <v>45</v>
      </c>
      <c r="N303">
        <f t="shared" si="8"/>
        <v>135</v>
      </c>
      <c r="O303">
        <f t="shared" si="9"/>
        <v>90</v>
      </c>
      <c r="P303" t="str">
        <f>IF(AND(F303="Nağd",G303&gt;5),M303*0.9,"0%")</f>
        <v>0%</v>
      </c>
      <c r="Q303" s="9" t="str">
        <f>IF(F303="Kredit",EOMONTH(B303,0),"")</f>
        <v/>
      </c>
      <c r="R303" s="17" t="str">
        <f>TEXT(B303,"dddd")</f>
        <v>Saturday</v>
      </c>
    </row>
    <row r="304" spans="1:18">
      <c r="A304" s="5" t="s">
        <v>311</v>
      </c>
      <c r="B304" s="8">
        <v>46061</v>
      </c>
      <c r="C304" s="5" t="s">
        <v>975</v>
      </c>
      <c r="D304" s="5" t="s">
        <v>20</v>
      </c>
      <c r="E304" s="5" t="s">
        <v>981</v>
      </c>
      <c r="F304" s="5" t="s">
        <v>4</v>
      </c>
      <c r="G304" s="5">
        <v>7</v>
      </c>
      <c r="H304" s="5" t="s">
        <v>963</v>
      </c>
      <c r="I304" s="13">
        <v>706007783</v>
      </c>
      <c r="J304" s="10" t="s">
        <v>1287</v>
      </c>
      <c r="K304" t="str">
        <f>LEFT(C304,FIND(" ",C304)-1)&amp;"-"&amp;E304&amp;" "&amp;"Filialina çardırılma"</f>
        <v>Murad-Gəncə Filialina çardırılma</v>
      </c>
      <c r="L304">
        <f>VLOOKUP(D304,Anbar!$A$2:$B$5,2,FALSE)</f>
        <v>15</v>
      </c>
      <c r="M304">
        <f>VLOOKUP(D304,Anbar!$A$2:$C$5,3,FALSE)</f>
        <v>45</v>
      </c>
      <c r="N304">
        <f t="shared" si="8"/>
        <v>315</v>
      </c>
      <c r="O304">
        <f t="shared" si="9"/>
        <v>210</v>
      </c>
      <c r="P304" t="str">
        <f>IF(AND(F304="Nağd",G304&gt;5),M304*0.9,"0%")</f>
        <v>0%</v>
      </c>
      <c r="Q304" s="9">
        <f>IF(F304="Kredit",EOMONTH(B304,0),"")</f>
        <v>46081</v>
      </c>
      <c r="R304" s="17" t="str">
        <f>TEXT(B304,"dddd")</f>
        <v>Sunday</v>
      </c>
    </row>
    <row r="305" spans="1:18">
      <c r="A305" s="5" t="s">
        <v>312</v>
      </c>
      <c r="B305" s="8">
        <v>46090</v>
      </c>
      <c r="C305" s="5" t="s">
        <v>974</v>
      </c>
      <c r="D305" s="5" t="s">
        <v>968</v>
      </c>
      <c r="E305" s="5" t="s">
        <v>980</v>
      </c>
      <c r="F305" s="5" t="s">
        <v>965</v>
      </c>
      <c r="G305" s="5">
        <v>10</v>
      </c>
      <c r="H305" s="5" t="s">
        <v>963</v>
      </c>
      <c r="I305" s="13">
        <v>553806808</v>
      </c>
      <c r="J305" s="10" t="s">
        <v>1288</v>
      </c>
      <c r="K305" t="str">
        <f>LEFT(C305,FIND(" ",C305)-1)&amp;"-"&amp;E305&amp;" "&amp;"Filialina çardırılma"</f>
        <v>Ramil-Sumqayit Filialina çardırılma</v>
      </c>
      <c r="L305">
        <f>VLOOKUP(D305,Anbar!$A$2:$B$5,2,FALSE)</f>
        <v>400</v>
      </c>
      <c r="M305">
        <f>VLOOKUP(D305,Anbar!$A$2:$C$5,3,FALSE)</f>
        <v>650</v>
      </c>
      <c r="N305">
        <f t="shared" si="8"/>
        <v>6500</v>
      </c>
      <c r="O305">
        <f t="shared" si="9"/>
        <v>2500</v>
      </c>
      <c r="P305">
        <f>IF(AND(F305="Nağd",G305&gt;5),M305*0.9,"0%")</f>
        <v>585</v>
      </c>
      <c r="Q305" s="9" t="str">
        <f>IF(F305="Kredit",EOMONTH(B305,0),"")</f>
        <v/>
      </c>
      <c r="R305" s="17" t="str">
        <f>TEXT(B305,"dddd")</f>
        <v>Monday</v>
      </c>
    </row>
    <row r="306" spans="1:18">
      <c r="A306" s="5" t="s">
        <v>313</v>
      </c>
      <c r="B306" s="8">
        <v>46103</v>
      </c>
      <c r="C306" s="5" t="s">
        <v>978</v>
      </c>
      <c r="D306" s="5" t="s">
        <v>20</v>
      </c>
      <c r="E306" s="5" t="s">
        <v>9</v>
      </c>
      <c r="F306" s="5" t="s">
        <v>965</v>
      </c>
      <c r="G306" s="5">
        <v>1</v>
      </c>
      <c r="H306" s="5" t="s">
        <v>963</v>
      </c>
      <c r="I306" s="13">
        <v>516214337</v>
      </c>
      <c r="J306" s="10" t="s">
        <v>1289</v>
      </c>
      <c r="K306" t="str">
        <f>LEFT(C306,FIND(" ",C306)-1)&amp;"-"&amp;E306&amp;" "&amp;"Filialina çardırılma"</f>
        <v>Əli-Gence Filialina çardırılma</v>
      </c>
      <c r="L306">
        <f>VLOOKUP(D306,Anbar!$A$2:$B$5,2,FALSE)</f>
        <v>15</v>
      </c>
      <c r="M306">
        <f>VLOOKUP(D306,Anbar!$A$2:$C$5,3,FALSE)</f>
        <v>45</v>
      </c>
      <c r="N306">
        <f t="shared" si="8"/>
        <v>45</v>
      </c>
      <c r="O306">
        <f t="shared" si="9"/>
        <v>30</v>
      </c>
      <c r="P306" t="str">
        <f>IF(AND(F306="Nağd",G306&gt;5),M306*0.9,"0%")</f>
        <v>0%</v>
      </c>
      <c r="Q306" s="9" t="str">
        <f>IF(F306="Kredit",EOMONTH(B306,0),"")</f>
        <v/>
      </c>
      <c r="R306" s="17" t="str">
        <f>TEXT(B306,"dddd")</f>
        <v>Sunday</v>
      </c>
    </row>
    <row r="307" spans="1:18">
      <c r="A307" s="5" t="s">
        <v>314</v>
      </c>
      <c r="B307" s="8">
        <v>46148</v>
      </c>
      <c r="C307" s="5" t="s">
        <v>976</v>
      </c>
      <c r="D307" s="5" t="s">
        <v>971</v>
      </c>
      <c r="E307" s="5" t="s">
        <v>982</v>
      </c>
      <c r="F307" s="5" t="s">
        <v>7</v>
      </c>
      <c r="G307" s="5">
        <v>1</v>
      </c>
      <c r="H307" s="5" t="s">
        <v>963</v>
      </c>
      <c r="I307" s="13">
        <v>708996399</v>
      </c>
      <c r="J307" s="10" t="s">
        <v>1290</v>
      </c>
      <c r="K307" t="str">
        <f>LEFT(C307,FIND(" ",C307)-1)&amp;"-"&amp;E307&amp;" "&amp;"Filialina çardırılma"</f>
        <v>Nərgin-Baki Filialina çardırılma</v>
      </c>
      <c r="L307">
        <f>VLOOKUP(D307,Anbar!$A$2:$B$5,2,FALSE)</f>
        <v>1200</v>
      </c>
      <c r="M307">
        <f>VLOOKUP(D307,Anbar!$A$2:$C$5,3,FALSE)</f>
        <v>1800</v>
      </c>
      <c r="N307">
        <f t="shared" si="8"/>
        <v>1800</v>
      </c>
      <c r="O307">
        <f t="shared" si="9"/>
        <v>600</v>
      </c>
      <c r="P307" t="str">
        <f>IF(AND(F307="Nağd",G307&gt;5),M307*0.9,"0%")</f>
        <v>0%</v>
      </c>
      <c r="Q307" s="9" t="str">
        <f>IF(F307="Kredit",EOMONTH(B307,0),"")</f>
        <v/>
      </c>
      <c r="R307" s="17" t="str">
        <f>TEXT(B307,"dddd")</f>
        <v>Wednesday</v>
      </c>
    </row>
    <row r="308" spans="1:18">
      <c r="A308" s="5" t="s">
        <v>315</v>
      </c>
      <c r="B308" s="8">
        <v>46108</v>
      </c>
      <c r="C308" s="5" t="s">
        <v>6</v>
      </c>
      <c r="D308" s="5" t="s">
        <v>20</v>
      </c>
      <c r="E308" s="5" t="s">
        <v>981</v>
      </c>
      <c r="F308" s="5" t="s">
        <v>7</v>
      </c>
      <c r="G308" s="5">
        <v>3</v>
      </c>
      <c r="H308" s="5" t="s">
        <v>963</v>
      </c>
      <c r="I308" s="13">
        <v>555596941</v>
      </c>
      <c r="J308" s="10" t="s">
        <v>1291</v>
      </c>
      <c r="K308" t="str">
        <f>LEFT(C308,FIND(" ",C308)-1)&amp;"-"&amp;E308&amp;" "&amp;"Filialina çardırılma"</f>
        <v>Zaur-Gəncə Filialina çardırılma</v>
      </c>
      <c r="L308">
        <f>VLOOKUP(D308,Anbar!$A$2:$B$5,2,FALSE)</f>
        <v>15</v>
      </c>
      <c r="M308">
        <f>VLOOKUP(D308,Anbar!$A$2:$C$5,3,FALSE)</f>
        <v>45</v>
      </c>
      <c r="N308">
        <f t="shared" si="8"/>
        <v>135</v>
      </c>
      <c r="O308">
        <f t="shared" si="9"/>
        <v>90</v>
      </c>
      <c r="P308" t="str">
        <f>IF(AND(F308="Nağd",G308&gt;5),M308*0.9,"0%")</f>
        <v>0%</v>
      </c>
      <c r="Q308" s="9" t="str">
        <f>IF(F308="Kredit",EOMONTH(B308,0),"")</f>
        <v/>
      </c>
      <c r="R308" s="17" t="str">
        <f>TEXT(B308,"dddd")</f>
        <v>Friday</v>
      </c>
    </row>
    <row r="309" spans="1:18">
      <c r="A309" s="5" t="s">
        <v>316</v>
      </c>
      <c r="B309" s="8">
        <v>46074</v>
      </c>
      <c r="C309" s="5" t="s">
        <v>979</v>
      </c>
      <c r="D309" s="5" t="s">
        <v>20</v>
      </c>
      <c r="E309" s="5" t="s">
        <v>982</v>
      </c>
      <c r="F309" s="5" t="s">
        <v>4</v>
      </c>
      <c r="G309" s="5">
        <v>2</v>
      </c>
      <c r="H309" s="5" t="s">
        <v>963</v>
      </c>
      <c r="I309" s="13">
        <v>700238058</v>
      </c>
      <c r="J309" s="10" t="s">
        <v>1292</v>
      </c>
      <c r="K309" t="str">
        <f>LEFT(C309,FIND(" ",C309)-1)&amp;"-"&amp;E309&amp;" "&amp;"Filialina çardırılma"</f>
        <v>Leyla-Baki Filialina çardırılma</v>
      </c>
      <c r="L309">
        <f>VLOOKUP(D309,Anbar!$A$2:$B$5,2,FALSE)</f>
        <v>15</v>
      </c>
      <c r="M309">
        <f>VLOOKUP(D309,Anbar!$A$2:$C$5,3,FALSE)</f>
        <v>45</v>
      </c>
      <c r="N309">
        <f t="shared" si="8"/>
        <v>90</v>
      </c>
      <c r="O309">
        <f t="shared" si="9"/>
        <v>60</v>
      </c>
      <c r="P309" t="str">
        <f>IF(AND(F309="Nağd",G309&gt;5),M309*0.9,"0%")</f>
        <v>0%</v>
      </c>
      <c r="Q309" s="9">
        <f>IF(F309="Kredit",EOMONTH(B309,0),"")</f>
        <v>46081</v>
      </c>
      <c r="R309" s="17" t="str">
        <f>TEXT(B309,"dddd")</f>
        <v>Saturday</v>
      </c>
    </row>
    <row r="310" spans="1:18">
      <c r="A310" s="5" t="s">
        <v>317</v>
      </c>
      <c r="B310" s="8">
        <v>46078</v>
      </c>
      <c r="C310" s="5" t="s">
        <v>975</v>
      </c>
      <c r="D310" s="5" t="s">
        <v>971</v>
      </c>
      <c r="E310" s="5" t="s">
        <v>982</v>
      </c>
      <c r="F310" s="5" t="s">
        <v>965</v>
      </c>
      <c r="G310" s="5">
        <v>7</v>
      </c>
      <c r="H310" s="5" t="s">
        <v>963</v>
      </c>
      <c r="I310" s="13">
        <v>501940714</v>
      </c>
      <c r="J310" s="10" t="s">
        <v>1293</v>
      </c>
      <c r="K310" t="str">
        <f>LEFT(C310,FIND(" ",C310)-1)&amp;"-"&amp;E310&amp;" "&amp;"Filialina çardırılma"</f>
        <v>Murad-Baki Filialina çardırılma</v>
      </c>
      <c r="L310">
        <f>VLOOKUP(D310,Anbar!$A$2:$B$5,2,FALSE)</f>
        <v>1200</v>
      </c>
      <c r="M310">
        <f>VLOOKUP(D310,Anbar!$A$2:$C$5,3,FALSE)</f>
        <v>1800</v>
      </c>
      <c r="N310">
        <f t="shared" si="8"/>
        <v>12600</v>
      </c>
      <c r="O310">
        <f t="shared" si="9"/>
        <v>4200</v>
      </c>
      <c r="P310">
        <f>IF(AND(F310="Nağd",G310&gt;5),M310*0.9,"0%")</f>
        <v>1620</v>
      </c>
      <c r="Q310" s="9" t="str">
        <f>IF(F310="Kredit",EOMONTH(B310,0),"")</f>
        <v/>
      </c>
      <c r="R310" s="17" t="str">
        <f>TEXT(B310,"dddd")</f>
        <v>Wednesday</v>
      </c>
    </row>
    <row r="311" spans="1:18">
      <c r="A311" s="5" t="s">
        <v>318</v>
      </c>
      <c r="B311" s="8">
        <v>46055</v>
      </c>
      <c r="C311" s="5" t="s">
        <v>976</v>
      </c>
      <c r="D311" s="5" t="s">
        <v>971</v>
      </c>
      <c r="E311" s="5" t="s">
        <v>9</v>
      </c>
      <c r="F311" s="5" t="s">
        <v>965</v>
      </c>
      <c r="G311" s="5">
        <v>9</v>
      </c>
      <c r="H311" s="5" t="s">
        <v>963</v>
      </c>
      <c r="I311" s="13">
        <v>513236744</v>
      </c>
      <c r="J311" s="10" t="s">
        <v>1294</v>
      </c>
      <c r="K311" t="str">
        <f>LEFT(C311,FIND(" ",C311)-1)&amp;"-"&amp;E311&amp;" "&amp;"Filialina çardırılma"</f>
        <v>Nərgin-Gence Filialina çardırılma</v>
      </c>
      <c r="L311">
        <f>VLOOKUP(D311,Anbar!$A$2:$B$5,2,FALSE)</f>
        <v>1200</v>
      </c>
      <c r="M311">
        <f>VLOOKUP(D311,Anbar!$A$2:$C$5,3,FALSE)</f>
        <v>1800</v>
      </c>
      <c r="N311">
        <f t="shared" si="8"/>
        <v>16200</v>
      </c>
      <c r="O311">
        <f t="shared" si="9"/>
        <v>5400</v>
      </c>
      <c r="P311">
        <f>IF(AND(F311="Nağd",G311&gt;5),M311*0.9,"0%")</f>
        <v>1620</v>
      </c>
      <c r="Q311" s="9" t="str">
        <f>IF(F311="Kredit",EOMONTH(B311,0),"")</f>
        <v/>
      </c>
      <c r="R311" s="17" t="str">
        <f>TEXT(B311,"dddd")</f>
        <v>Monday</v>
      </c>
    </row>
    <row r="312" spans="1:18">
      <c r="A312" s="5" t="s">
        <v>319</v>
      </c>
      <c r="B312" s="8">
        <v>46083</v>
      </c>
      <c r="C312" s="5" t="s">
        <v>967</v>
      </c>
      <c r="D312" s="5" t="s">
        <v>20</v>
      </c>
      <c r="E312" s="5" t="s">
        <v>9</v>
      </c>
      <c r="F312" s="5" t="s">
        <v>4</v>
      </c>
      <c r="G312" s="5">
        <v>2</v>
      </c>
      <c r="H312" s="5" t="s">
        <v>963</v>
      </c>
      <c r="I312" s="13">
        <v>512106544</v>
      </c>
      <c r="J312" s="10" t="s">
        <v>1295</v>
      </c>
      <c r="K312" t="str">
        <f>LEFT(C312,FIND(" ",C312)-1)&amp;"-"&amp;E312&amp;" "&amp;"Filialina çardırılma"</f>
        <v>Aysel-Gence Filialina çardırılma</v>
      </c>
      <c r="L312">
        <f>VLOOKUP(D312,Anbar!$A$2:$B$5,2,FALSE)</f>
        <v>15</v>
      </c>
      <c r="M312">
        <f>VLOOKUP(D312,Anbar!$A$2:$C$5,3,FALSE)</f>
        <v>45</v>
      </c>
      <c r="N312">
        <f t="shared" si="8"/>
        <v>90</v>
      </c>
      <c r="O312">
        <f t="shared" si="9"/>
        <v>60</v>
      </c>
      <c r="P312" t="str">
        <f>IF(AND(F312="Nağd",G312&gt;5),M312*0.9,"0%")</f>
        <v>0%</v>
      </c>
      <c r="Q312" s="9">
        <f>IF(F312="Kredit",EOMONTH(B312,0),"")</f>
        <v>46112</v>
      </c>
      <c r="R312" s="17" t="str">
        <f>TEXT(B312,"dddd")</f>
        <v>Monday</v>
      </c>
    </row>
    <row r="313" spans="1:18">
      <c r="A313" s="5" t="s">
        <v>320</v>
      </c>
      <c r="B313" s="8">
        <v>46174</v>
      </c>
      <c r="C313" s="5" t="s">
        <v>967</v>
      </c>
      <c r="D313" s="5" t="s">
        <v>20</v>
      </c>
      <c r="E313" s="5" t="s">
        <v>982</v>
      </c>
      <c r="F313" s="5" t="s">
        <v>965</v>
      </c>
      <c r="G313" s="5">
        <v>8</v>
      </c>
      <c r="H313" s="5" t="s">
        <v>963</v>
      </c>
      <c r="I313" s="13">
        <v>705594330</v>
      </c>
      <c r="J313" s="10" t="s">
        <v>1296</v>
      </c>
      <c r="K313" t="str">
        <f>LEFT(C313,FIND(" ",C313)-1)&amp;"-"&amp;E313&amp;" "&amp;"Filialina çardırılma"</f>
        <v>Aysel-Baki Filialina çardırılma</v>
      </c>
      <c r="L313">
        <f>VLOOKUP(D313,Anbar!$A$2:$B$5,2,FALSE)</f>
        <v>15</v>
      </c>
      <c r="M313">
        <f>VLOOKUP(D313,Anbar!$A$2:$C$5,3,FALSE)</f>
        <v>45</v>
      </c>
      <c r="N313">
        <f t="shared" si="8"/>
        <v>360</v>
      </c>
      <c r="O313">
        <f t="shared" si="9"/>
        <v>240</v>
      </c>
      <c r="P313">
        <f>IF(AND(F313="Nağd",G313&gt;5),M313*0.9,"0%")</f>
        <v>40.5</v>
      </c>
      <c r="Q313" s="9" t="str">
        <f>IF(F313="Kredit",EOMONTH(B313,0),"")</f>
        <v/>
      </c>
      <c r="R313" s="17" t="str">
        <f>TEXT(B313,"dddd")</f>
        <v>Monday</v>
      </c>
    </row>
    <row r="314" spans="1:18">
      <c r="A314" s="5" t="s">
        <v>321</v>
      </c>
      <c r="B314" s="8">
        <v>46060</v>
      </c>
      <c r="C314" s="5" t="s">
        <v>967</v>
      </c>
      <c r="D314" s="5" t="s">
        <v>20</v>
      </c>
      <c r="E314" s="5" t="s">
        <v>981</v>
      </c>
      <c r="F314" s="5" t="s">
        <v>4</v>
      </c>
      <c r="G314" s="5">
        <v>8</v>
      </c>
      <c r="H314" s="5" t="s">
        <v>963</v>
      </c>
      <c r="I314" s="13">
        <v>505663280</v>
      </c>
      <c r="J314" s="10" t="s">
        <v>1297</v>
      </c>
      <c r="K314" t="str">
        <f>LEFT(C314,FIND(" ",C314)-1)&amp;"-"&amp;E314&amp;" "&amp;"Filialina çardırılma"</f>
        <v>Aysel-Gəncə Filialina çardırılma</v>
      </c>
      <c r="L314">
        <f>VLOOKUP(D314,Anbar!$A$2:$B$5,2,FALSE)</f>
        <v>15</v>
      </c>
      <c r="M314">
        <f>VLOOKUP(D314,Anbar!$A$2:$C$5,3,FALSE)</f>
        <v>45</v>
      </c>
      <c r="N314">
        <f t="shared" si="8"/>
        <v>360</v>
      </c>
      <c r="O314">
        <f t="shared" si="9"/>
        <v>240</v>
      </c>
      <c r="P314" t="str">
        <f>IF(AND(F314="Nağd",G314&gt;5),M314*0.9,"0%")</f>
        <v>0%</v>
      </c>
      <c r="Q314" s="9">
        <f>IF(F314="Kredit",EOMONTH(B314,0),"")</f>
        <v>46081</v>
      </c>
      <c r="R314" s="17" t="str">
        <f>TEXT(B314,"dddd")</f>
        <v>Saturday</v>
      </c>
    </row>
    <row r="315" spans="1:18">
      <c r="A315" s="5" t="s">
        <v>322</v>
      </c>
      <c r="B315" s="8">
        <v>46114</v>
      </c>
      <c r="C315" s="5" t="s">
        <v>977</v>
      </c>
      <c r="D315" s="5" t="s">
        <v>971</v>
      </c>
      <c r="E315" s="5" t="s">
        <v>964</v>
      </c>
      <c r="F315" s="5" t="s">
        <v>965</v>
      </c>
      <c r="G315" s="5">
        <v>4</v>
      </c>
      <c r="H315" s="5" t="s">
        <v>963</v>
      </c>
      <c r="I315" s="13">
        <v>704700982</v>
      </c>
      <c r="J315" s="10" t="s">
        <v>1298</v>
      </c>
      <c r="K315" t="str">
        <f>LEFT(C315,FIND(" ",C315)-1)&amp;"-"&amp;E315&amp;" "&amp;"Filialina çardırılma"</f>
        <v>Elnur-Sumqayıt Filialina çardırılma</v>
      </c>
      <c r="L315">
        <f>VLOOKUP(D315,Anbar!$A$2:$B$5,2,FALSE)</f>
        <v>1200</v>
      </c>
      <c r="M315">
        <f>VLOOKUP(D315,Anbar!$A$2:$C$5,3,FALSE)</f>
        <v>1800</v>
      </c>
      <c r="N315">
        <f t="shared" si="8"/>
        <v>7200</v>
      </c>
      <c r="O315">
        <f t="shared" si="9"/>
        <v>2400</v>
      </c>
      <c r="P315" t="str">
        <f>IF(AND(F315="Nağd",G315&gt;5),M315*0.9,"0%")</f>
        <v>0%</v>
      </c>
      <c r="Q315" s="9" t="str">
        <f>IF(F315="Kredit",EOMONTH(B315,0),"")</f>
        <v/>
      </c>
      <c r="R315" s="17" t="str">
        <f>TEXT(B315,"dddd")</f>
        <v>Thursday</v>
      </c>
    </row>
    <row r="316" spans="1:18">
      <c r="A316" s="5" t="s">
        <v>323</v>
      </c>
      <c r="B316" s="8">
        <v>46170</v>
      </c>
      <c r="C316" s="5" t="s">
        <v>6</v>
      </c>
      <c r="D316" s="5" t="s">
        <v>20</v>
      </c>
      <c r="E316" s="5" t="s">
        <v>983</v>
      </c>
      <c r="F316" s="5" t="s">
        <v>4</v>
      </c>
      <c r="G316" s="5">
        <v>4</v>
      </c>
      <c r="H316" s="5" t="s">
        <v>963</v>
      </c>
      <c r="I316" s="13">
        <v>504917832</v>
      </c>
      <c r="J316" s="10" t="s">
        <v>1299</v>
      </c>
      <c r="K316" t="str">
        <f>LEFT(C316,FIND(" ",C316)-1)&amp;"-"&amp;E316&amp;" "&amp;"Filialina çardırılma"</f>
        <v>Zaur-Naməlum Filialina çardırılma</v>
      </c>
      <c r="L316">
        <f>VLOOKUP(D316,Anbar!$A$2:$B$5,2,FALSE)</f>
        <v>15</v>
      </c>
      <c r="M316">
        <f>VLOOKUP(D316,Anbar!$A$2:$C$5,3,FALSE)</f>
        <v>45</v>
      </c>
      <c r="N316">
        <f t="shared" si="8"/>
        <v>180</v>
      </c>
      <c r="O316">
        <f t="shared" si="9"/>
        <v>120</v>
      </c>
      <c r="P316" t="str">
        <f>IF(AND(F316="Nağd",G316&gt;5),M316*0.9,"0%")</f>
        <v>0%</v>
      </c>
      <c r="Q316" s="9">
        <f>IF(F316="Kredit",EOMONTH(B316,0),"")</f>
        <v>46173</v>
      </c>
      <c r="R316" s="17" t="str">
        <f>TEXT(B316,"dddd")</f>
        <v>Thursday</v>
      </c>
    </row>
    <row r="317" spans="1:18">
      <c r="A317" s="5" t="s">
        <v>324</v>
      </c>
      <c r="B317" s="8">
        <v>46170</v>
      </c>
      <c r="C317" s="5" t="s">
        <v>6</v>
      </c>
      <c r="D317" s="5" t="s">
        <v>20</v>
      </c>
      <c r="E317" s="5" t="s">
        <v>980</v>
      </c>
      <c r="F317" s="5" t="s">
        <v>7</v>
      </c>
      <c r="G317" s="5">
        <v>7</v>
      </c>
      <c r="H317" s="5" t="s">
        <v>963</v>
      </c>
      <c r="I317" s="13">
        <v>551629977</v>
      </c>
      <c r="J317" s="10" t="s">
        <v>1300</v>
      </c>
      <c r="K317" t="str">
        <f>LEFT(C317,FIND(" ",C317)-1)&amp;"-"&amp;E317&amp;" "&amp;"Filialina çardırılma"</f>
        <v>Zaur-Sumqayit Filialina çardırılma</v>
      </c>
      <c r="L317">
        <f>VLOOKUP(D317,Anbar!$A$2:$B$5,2,FALSE)</f>
        <v>15</v>
      </c>
      <c r="M317">
        <f>VLOOKUP(D317,Anbar!$A$2:$C$5,3,FALSE)</f>
        <v>45</v>
      </c>
      <c r="N317">
        <f t="shared" si="8"/>
        <v>315</v>
      </c>
      <c r="O317">
        <f t="shared" si="9"/>
        <v>210</v>
      </c>
      <c r="P317" t="str">
        <f>IF(AND(F317="Nağd",G317&gt;5),M317*0.9,"0%")</f>
        <v>0%</v>
      </c>
      <c r="Q317" s="9" t="str">
        <f>IF(F317="Kredit",EOMONTH(B317,0),"")</f>
        <v/>
      </c>
      <c r="R317" s="17" t="str">
        <f>TEXT(B317,"dddd")</f>
        <v>Thursday</v>
      </c>
    </row>
    <row r="318" spans="1:18">
      <c r="A318" s="5" t="s">
        <v>325</v>
      </c>
      <c r="B318" s="8">
        <v>46066</v>
      </c>
      <c r="C318" s="5" t="s">
        <v>977</v>
      </c>
      <c r="D318" s="5" t="s">
        <v>968</v>
      </c>
      <c r="E318" s="5" t="s">
        <v>9</v>
      </c>
      <c r="F318" s="5" t="s">
        <v>4</v>
      </c>
      <c r="G318" s="5">
        <v>3</v>
      </c>
      <c r="H318" s="5" t="s">
        <v>963</v>
      </c>
      <c r="I318" s="13">
        <v>701295818</v>
      </c>
      <c r="J318" s="10" t="s">
        <v>1301</v>
      </c>
      <c r="K318" t="str">
        <f>LEFT(C318,FIND(" ",C318)-1)&amp;"-"&amp;E318&amp;" "&amp;"Filialina çardırılma"</f>
        <v>Elnur-Gence Filialina çardırılma</v>
      </c>
      <c r="L318">
        <f>VLOOKUP(D318,Anbar!$A$2:$B$5,2,FALSE)</f>
        <v>400</v>
      </c>
      <c r="M318">
        <f>VLOOKUP(D318,Anbar!$A$2:$C$5,3,FALSE)</f>
        <v>650</v>
      </c>
      <c r="N318">
        <f t="shared" si="8"/>
        <v>1950</v>
      </c>
      <c r="O318">
        <f t="shared" si="9"/>
        <v>750</v>
      </c>
      <c r="P318" t="str">
        <f>IF(AND(F318="Nağd",G318&gt;5),M318*0.9,"0%")</f>
        <v>0%</v>
      </c>
      <c r="Q318" s="9">
        <f>IF(F318="Kredit",EOMONTH(B318,0),"")</f>
        <v>46081</v>
      </c>
      <c r="R318" s="17" t="str">
        <f>TEXT(B318,"dddd")</f>
        <v>Friday</v>
      </c>
    </row>
    <row r="319" spans="1:18">
      <c r="A319" s="5" t="s">
        <v>326</v>
      </c>
      <c r="B319" s="8">
        <v>46129</v>
      </c>
      <c r="C319" s="5" t="s">
        <v>974</v>
      </c>
      <c r="D319" s="5" t="s">
        <v>971</v>
      </c>
      <c r="E319" s="5" t="s">
        <v>964</v>
      </c>
      <c r="F319" s="5" t="s">
        <v>4</v>
      </c>
      <c r="G319" s="5">
        <v>3</v>
      </c>
      <c r="H319" s="5" t="s">
        <v>963</v>
      </c>
      <c r="I319" s="13">
        <v>512314099</v>
      </c>
      <c r="J319" s="10" t="s">
        <v>1302</v>
      </c>
      <c r="K319" t="str">
        <f>LEFT(C319,FIND(" ",C319)-1)&amp;"-"&amp;E319&amp;" "&amp;"Filialina çardırılma"</f>
        <v>Ramil-Sumqayıt Filialina çardırılma</v>
      </c>
      <c r="L319">
        <f>VLOOKUP(D319,Anbar!$A$2:$B$5,2,FALSE)</f>
        <v>1200</v>
      </c>
      <c r="M319">
        <f>VLOOKUP(D319,Anbar!$A$2:$C$5,3,FALSE)</f>
        <v>1800</v>
      </c>
      <c r="N319">
        <f t="shared" si="8"/>
        <v>5400</v>
      </c>
      <c r="O319">
        <f t="shared" si="9"/>
        <v>1800</v>
      </c>
      <c r="P319" t="str">
        <f>IF(AND(F319="Nağd",G319&gt;5),M319*0.9,"0%")</f>
        <v>0%</v>
      </c>
      <c r="Q319" s="9">
        <f>IF(F319="Kredit",EOMONTH(B319,0),"")</f>
        <v>46142</v>
      </c>
      <c r="R319" s="17" t="str">
        <f>TEXT(B319,"dddd")</f>
        <v>Friday</v>
      </c>
    </row>
    <row r="320" spans="1:18">
      <c r="A320" s="5" t="s">
        <v>327</v>
      </c>
      <c r="B320" s="8">
        <v>46081</v>
      </c>
      <c r="C320" s="5" t="s">
        <v>978</v>
      </c>
      <c r="D320" s="5" t="s">
        <v>20</v>
      </c>
      <c r="E320" s="5" t="s">
        <v>981</v>
      </c>
      <c r="F320" s="5" t="s">
        <v>965</v>
      </c>
      <c r="G320" s="5">
        <v>7</v>
      </c>
      <c r="H320" s="5" t="s">
        <v>963</v>
      </c>
      <c r="I320" s="13">
        <v>706776225</v>
      </c>
      <c r="J320" s="10" t="s">
        <v>1303</v>
      </c>
      <c r="K320" t="str">
        <f>LEFT(C320,FIND(" ",C320)-1)&amp;"-"&amp;E320&amp;" "&amp;"Filialina çardırılma"</f>
        <v>Əli-Gəncə Filialina çardırılma</v>
      </c>
      <c r="L320">
        <f>VLOOKUP(D320,Anbar!$A$2:$B$5,2,FALSE)</f>
        <v>15</v>
      </c>
      <c r="M320">
        <f>VLOOKUP(D320,Anbar!$A$2:$C$5,3,FALSE)</f>
        <v>45</v>
      </c>
      <c r="N320">
        <f t="shared" si="8"/>
        <v>315</v>
      </c>
      <c r="O320">
        <f t="shared" si="9"/>
        <v>210</v>
      </c>
      <c r="P320">
        <f>IF(AND(F320="Nağd",G320&gt;5),M320*0.9,"0%")</f>
        <v>40.5</v>
      </c>
      <c r="Q320" s="9" t="str">
        <f>IF(F320="Kredit",EOMONTH(B320,0),"")</f>
        <v/>
      </c>
      <c r="R320" s="17" t="str">
        <f>TEXT(B320,"dddd")</f>
        <v>Saturday</v>
      </c>
    </row>
    <row r="321" spans="1:18">
      <c r="A321" s="5" t="s">
        <v>328</v>
      </c>
      <c r="B321" s="8">
        <v>46061</v>
      </c>
      <c r="C321" s="5" t="s">
        <v>967</v>
      </c>
      <c r="D321" s="5" t="s">
        <v>971</v>
      </c>
      <c r="E321" s="5" t="s">
        <v>980</v>
      </c>
      <c r="F321" s="5" t="s">
        <v>965</v>
      </c>
      <c r="G321" s="5">
        <v>6</v>
      </c>
      <c r="H321" s="5" t="s">
        <v>963</v>
      </c>
      <c r="I321" s="13">
        <v>554522424</v>
      </c>
      <c r="J321" s="10" t="s">
        <v>1304</v>
      </c>
      <c r="K321" t="str">
        <f>LEFT(C321,FIND(" ",C321)-1)&amp;"-"&amp;E321&amp;" "&amp;"Filialina çardırılma"</f>
        <v>Aysel-Sumqayit Filialina çardırılma</v>
      </c>
      <c r="L321">
        <f>VLOOKUP(D321,Anbar!$A$2:$B$5,2,FALSE)</f>
        <v>1200</v>
      </c>
      <c r="M321">
        <f>VLOOKUP(D321,Anbar!$A$2:$C$5,3,FALSE)</f>
        <v>1800</v>
      </c>
      <c r="N321">
        <f t="shared" si="8"/>
        <v>10800</v>
      </c>
      <c r="O321">
        <f t="shared" si="9"/>
        <v>3600</v>
      </c>
      <c r="P321">
        <f>IF(AND(F321="Nağd",G321&gt;5),M321*0.9,"0%")</f>
        <v>1620</v>
      </c>
      <c r="Q321" s="9" t="str">
        <f>IF(F321="Kredit",EOMONTH(B321,0),"")</f>
        <v/>
      </c>
      <c r="R321" s="17" t="str">
        <f>TEXT(B321,"dddd")</f>
        <v>Sunday</v>
      </c>
    </row>
    <row r="322" spans="1:18">
      <c r="A322" s="5" t="s">
        <v>329</v>
      </c>
      <c r="B322" s="8">
        <v>46124</v>
      </c>
      <c r="C322" s="5" t="s">
        <v>976</v>
      </c>
      <c r="D322" s="5" t="s">
        <v>20</v>
      </c>
      <c r="E322" s="5" t="s">
        <v>964</v>
      </c>
      <c r="F322" s="5" t="s">
        <v>4</v>
      </c>
      <c r="G322" s="5">
        <v>2</v>
      </c>
      <c r="H322" s="5" t="s">
        <v>963</v>
      </c>
      <c r="I322" s="13">
        <v>508862200</v>
      </c>
      <c r="J322" s="10" t="s">
        <v>1305</v>
      </c>
      <c r="K322" t="str">
        <f>LEFT(C322,FIND(" ",C322)-1)&amp;"-"&amp;E322&amp;" "&amp;"Filialina çardırılma"</f>
        <v>Nərgin-Sumqayıt Filialina çardırılma</v>
      </c>
      <c r="L322">
        <f>VLOOKUP(D322,Anbar!$A$2:$B$5,2,FALSE)</f>
        <v>15</v>
      </c>
      <c r="M322">
        <f>VLOOKUP(D322,Anbar!$A$2:$C$5,3,FALSE)</f>
        <v>45</v>
      </c>
      <c r="N322">
        <f t="shared" si="8"/>
        <v>90</v>
      </c>
      <c r="O322">
        <f t="shared" si="9"/>
        <v>60</v>
      </c>
      <c r="P322" t="str">
        <f>IF(AND(F322="Nağd",G322&gt;5),M322*0.9,"0%")</f>
        <v>0%</v>
      </c>
      <c r="Q322" s="9">
        <f>IF(F322="Kredit",EOMONTH(B322,0),"")</f>
        <v>46142</v>
      </c>
      <c r="R322" s="17" t="str">
        <f>TEXT(B322,"dddd")</f>
        <v>Sunday</v>
      </c>
    </row>
    <row r="323" spans="1:18">
      <c r="A323" s="5" t="s">
        <v>330</v>
      </c>
      <c r="B323" s="8">
        <v>46166</v>
      </c>
      <c r="C323" s="5" t="s">
        <v>979</v>
      </c>
      <c r="D323" s="5" t="s">
        <v>20</v>
      </c>
      <c r="E323" s="5" t="s">
        <v>966</v>
      </c>
      <c r="F323" s="5" t="s">
        <v>965</v>
      </c>
      <c r="G323" s="5">
        <v>5</v>
      </c>
      <c r="H323" s="5" t="s">
        <v>963</v>
      </c>
      <c r="I323" s="13">
        <v>705875077</v>
      </c>
      <c r="J323" s="10" t="s">
        <v>1306</v>
      </c>
      <c r="K323" t="str">
        <f>LEFT(C323,FIND(" ",C323)-1)&amp;"-"&amp;E323&amp;" "&amp;"Filialina çardırılma"</f>
        <v>Leyla-Bakı Filialina çardırılma</v>
      </c>
      <c r="L323">
        <f>VLOOKUP(D323,Anbar!$A$2:$B$5,2,FALSE)</f>
        <v>15</v>
      </c>
      <c r="M323">
        <f>VLOOKUP(D323,Anbar!$A$2:$C$5,3,FALSE)</f>
        <v>45</v>
      </c>
      <c r="N323">
        <f t="shared" ref="N323:N386" si="10">G323*M323</f>
        <v>225</v>
      </c>
      <c r="O323">
        <f t="shared" ref="O323:O386" si="11">(M323-L323)*G323</f>
        <v>150</v>
      </c>
      <c r="P323" t="str">
        <f>IF(AND(F323="Nağd",G323&gt;5),M323*0.9,"0%")</f>
        <v>0%</v>
      </c>
      <c r="Q323" s="9" t="str">
        <f>IF(F323="Kredit",EOMONTH(B323,0),"")</f>
        <v/>
      </c>
      <c r="R323" s="17" t="str">
        <f>TEXT(B323,"dddd")</f>
        <v>Sunday</v>
      </c>
    </row>
    <row r="324" spans="1:18">
      <c r="A324" s="5" t="s">
        <v>331</v>
      </c>
      <c r="B324" s="8">
        <v>46034</v>
      </c>
      <c r="C324" s="5" t="s">
        <v>977</v>
      </c>
      <c r="D324" s="5" t="s">
        <v>20</v>
      </c>
      <c r="E324" s="5" t="s">
        <v>981</v>
      </c>
      <c r="F324" s="5" t="s">
        <v>7</v>
      </c>
      <c r="G324" s="5">
        <v>10</v>
      </c>
      <c r="H324" s="5" t="s">
        <v>963</v>
      </c>
      <c r="I324" s="13">
        <v>708372781</v>
      </c>
      <c r="J324" s="10" t="s">
        <v>1307</v>
      </c>
      <c r="K324" t="str">
        <f>LEFT(C324,FIND(" ",C324)-1)&amp;"-"&amp;E324&amp;" "&amp;"Filialina çardırılma"</f>
        <v>Elnur-Gəncə Filialina çardırılma</v>
      </c>
      <c r="L324">
        <f>VLOOKUP(D324,Anbar!$A$2:$B$5,2,FALSE)</f>
        <v>15</v>
      </c>
      <c r="M324">
        <f>VLOOKUP(D324,Anbar!$A$2:$C$5,3,FALSE)</f>
        <v>45</v>
      </c>
      <c r="N324">
        <f t="shared" si="10"/>
        <v>450</v>
      </c>
      <c r="O324">
        <f t="shared" si="11"/>
        <v>300</v>
      </c>
      <c r="P324" t="str">
        <f>IF(AND(F324="Nağd",G324&gt;5),M324*0.9,"0%")</f>
        <v>0%</v>
      </c>
      <c r="Q324" s="9" t="str">
        <f>IF(F324="Kredit",EOMONTH(B324,0),"")</f>
        <v/>
      </c>
      <c r="R324" s="17" t="str">
        <f>TEXT(B324,"dddd")</f>
        <v>Monday</v>
      </c>
    </row>
    <row r="325" spans="1:18">
      <c r="A325" s="5" t="s">
        <v>332</v>
      </c>
      <c r="B325" s="8">
        <v>46146</v>
      </c>
      <c r="C325" s="5" t="s">
        <v>977</v>
      </c>
      <c r="D325" s="5" t="s">
        <v>971</v>
      </c>
      <c r="E325" s="5" t="s">
        <v>964</v>
      </c>
      <c r="F325" s="5" t="s">
        <v>4</v>
      </c>
      <c r="G325" s="5">
        <v>9</v>
      </c>
      <c r="H325" s="5" t="s">
        <v>963</v>
      </c>
      <c r="I325" s="13">
        <v>774254473</v>
      </c>
      <c r="J325" s="10" t="s">
        <v>1308</v>
      </c>
      <c r="K325" t="str">
        <f>LEFT(C325,FIND(" ",C325)-1)&amp;"-"&amp;E325&amp;" "&amp;"Filialina çardırılma"</f>
        <v>Elnur-Sumqayıt Filialina çardırılma</v>
      </c>
      <c r="L325">
        <f>VLOOKUP(D325,Anbar!$A$2:$B$5,2,FALSE)</f>
        <v>1200</v>
      </c>
      <c r="M325">
        <f>VLOOKUP(D325,Anbar!$A$2:$C$5,3,FALSE)</f>
        <v>1800</v>
      </c>
      <c r="N325">
        <f t="shared" si="10"/>
        <v>16200</v>
      </c>
      <c r="O325">
        <f t="shared" si="11"/>
        <v>5400</v>
      </c>
      <c r="P325" t="str">
        <f>IF(AND(F325="Nağd",G325&gt;5),M325*0.9,"0%")</f>
        <v>0%</v>
      </c>
      <c r="Q325" s="9">
        <f>IF(F325="Kredit",EOMONTH(B325,0),"")</f>
        <v>46173</v>
      </c>
      <c r="R325" s="17" t="str">
        <f>TEXT(B325,"dddd")</f>
        <v>Monday</v>
      </c>
    </row>
    <row r="326" spans="1:18">
      <c r="A326" s="5" t="s">
        <v>333</v>
      </c>
      <c r="B326" s="8">
        <v>46057</v>
      </c>
      <c r="C326" s="5" t="s">
        <v>979</v>
      </c>
      <c r="D326" s="5" t="s">
        <v>971</v>
      </c>
      <c r="E326" s="5" t="s">
        <v>981</v>
      </c>
      <c r="F326" s="5" t="s">
        <v>965</v>
      </c>
      <c r="G326" s="5">
        <v>5</v>
      </c>
      <c r="H326" s="5" t="s">
        <v>963</v>
      </c>
      <c r="I326" s="13">
        <v>703178692</v>
      </c>
      <c r="J326" s="10" t="s">
        <v>1309</v>
      </c>
      <c r="K326" t="str">
        <f>LEFT(C326,FIND(" ",C326)-1)&amp;"-"&amp;E326&amp;" "&amp;"Filialina çardırılma"</f>
        <v>Leyla-Gəncə Filialina çardırılma</v>
      </c>
      <c r="L326">
        <f>VLOOKUP(D326,Anbar!$A$2:$B$5,2,FALSE)</f>
        <v>1200</v>
      </c>
      <c r="M326">
        <f>VLOOKUP(D326,Anbar!$A$2:$C$5,3,FALSE)</f>
        <v>1800</v>
      </c>
      <c r="N326">
        <f t="shared" si="10"/>
        <v>9000</v>
      </c>
      <c r="O326">
        <f t="shared" si="11"/>
        <v>3000</v>
      </c>
      <c r="P326" t="str">
        <f>IF(AND(F326="Nağd",G326&gt;5),M326*0.9,"0%")</f>
        <v>0%</v>
      </c>
      <c r="Q326" s="9" t="str">
        <f>IF(F326="Kredit",EOMONTH(B326,0),"")</f>
        <v/>
      </c>
      <c r="R326" s="17" t="str">
        <f>TEXT(B326,"dddd")</f>
        <v>Wednesday</v>
      </c>
    </row>
    <row r="327" spans="1:18">
      <c r="A327" s="5" t="s">
        <v>334</v>
      </c>
      <c r="B327" s="8">
        <v>46175</v>
      </c>
      <c r="C327" s="5" t="s">
        <v>979</v>
      </c>
      <c r="D327" s="5" t="s">
        <v>971</v>
      </c>
      <c r="E327" s="5" t="s">
        <v>980</v>
      </c>
      <c r="F327" s="5" t="s">
        <v>965</v>
      </c>
      <c r="G327" s="5">
        <v>3</v>
      </c>
      <c r="H327" s="5" t="s">
        <v>963</v>
      </c>
      <c r="I327" s="13">
        <v>775668814</v>
      </c>
      <c r="J327" s="10" t="s">
        <v>1310</v>
      </c>
      <c r="K327" t="str">
        <f>LEFT(C327,FIND(" ",C327)-1)&amp;"-"&amp;E327&amp;" "&amp;"Filialina çardırılma"</f>
        <v>Leyla-Sumqayit Filialina çardırılma</v>
      </c>
      <c r="L327">
        <f>VLOOKUP(D327,Anbar!$A$2:$B$5,2,FALSE)</f>
        <v>1200</v>
      </c>
      <c r="M327">
        <f>VLOOKUP(D327,Anbar!$A$2:$C$5,3,FALSE)</f>
        <v>1800</v>
      </c>
      <c r="N327">
        <f t="shared" si="10"/>
        <v>5400</v>
      </c>
      <c r="O327">
        <f t="shared" si="11"/>
        <v>1800</v>
      </c>
      <c r="P327" t="str">
        <f>IF(AND(F327="Nağd",G327&gt;5),M327*0.9,"0%")</f>
        <v>0%</v>
      </c>
      <c r="Q327" s="9" t="str">
        <f>IF(F327="Kredit",EOMONTH(B327,0),"")</f>
        <v/>
      </c>
      <c r="R327" s="17" t="str">
        <f>TEXT(B327,"dddd")</f>
        <v>Tuesday</v>
      </c>
    </row>
    <row r="328" spans="1:18">
      <c r="A328" s="5" t="s">
        <v>335</v>
      </c>
      <c r="B328" s="8">
        <v>46075</v>
      </c>
      <c r="C328" s="5" t="s">
        <v>978</v>
      </c>
      <c r="D328" s="5" t="s">
        <v>971</v>
      </c>
      <c r="E328" s="5" t="s">
        <v>981</v>
      </c>
      <c r="F328" s="5" t="s">
        <v>7</v>
      </c>
      <c r="G328" s="5">
        <v>7</v>
      </c>
      <c r="H328" s="5" t="s">
        <v>963</v>
      </c>
      <c r="I328" s="13">
        <v>707018427</v>
      </c>
      <c r="J328" s="10" t="s">
        <v>1311</v>
      </c>
      <c r="K328" t="str">
        <f>LEFT(C328,FIND(" ",C328)-1)&amp;"-"&amp;E328&amp;" "&amp;"Filialina çardırılma"</f>
        <v>Əli-Gəncə Filialina çardırılma</v>
      </c>
      <c r="L328">
        <f>VLOOKUP(D328,Anbar!$A$2:$B$5,2,FALSE)</f>
        <v>1200</v>
      </c>
      <c r="M328">
        <f>VLOOKUP(D328,Anbar!$A$2:$C$5,3,FALSE)</f>
        <v>1800</v>
      </c>
      <c r="N328">
        <f t="shared" si="10"/>
        <v>12600</v>
      </c>
      <c r="O328">
        <f t="shared" si="11"/>
        <v>4200</v>
      </c>
      <c r="P328" t="str">
        <f>IF(AND(F328="Nağd",G328&gt;5),M328*0.9,"0%")</f>
        <v>0%</v>
      </c>
      <c r="Q328" s="9" t="str">
        <f>IF(F328="Kredit",EOMONTH(B328,0),"")</f>
        <v/>
      </c>
      <c r="R328" s="17" t="str">
        <f>TEXT(B328,"dddd")</f>
        <v>Sunday</v>
      </c>
    </row>
    <row r="329" spans="1:18">
      <c r="A329" s="5" t="s">
        <v>336</v>
      </c>
      <c r="B329" s="8">
        <v>46046</v>
      </c>
      <c r="C329" s="5" t="s">
        <v>976</v>
      </c>
      <c r="D329" s="5" t="s">
        <v>971</v>
      </c>
      <c r="E329" s="5" t="s">
        <v>982</v>
      </c>
      <c r="F329" s="5" t="s">
        <v>4</v>
      </c>
      <c r="G329" s="5">
        <v>5</v>
      </c>
      <c r="H329" s="5" t="s">
        <v>963</v>
      </c>
      <c r="I329" s="13">
        <v>775248865</v>
      </c>
      <c r="J329" s="10" t="s">
        <v>1312</v>
      </c>
      <c r="K329" t="str">
        <f>LEFT(C329,FIND(" ",C329)-1)&amp;"-"&amp;E329&amp;" "&amp;"Filialina çardırılma"</f>
        <v>Nərgin-Baki Filialina çardırılma</v>
      </c>
      <c r="L329">
        <f>VLOOKUP(D329,Anbar!$A$2:$B$5,2,FALSE)</f>
        <v>1200</v>
      </c>
      <c r="M329">
        <f>VLOOKUP(D329,Anbar!$A$2:$C$5,3,FALSE)</f>
        <v>1800</v>
      </c>
      <c r="N329">
        <f t="shared" si="10"/>
        <v>9000</v>
      </c>
      <c r="O329">
        <f t="shared" si="11"/>
        <v>3000</v>
      </c>
      <c r="P329" t="str">
        <f>IF(AND(F329="Nağd",G329&gt;5),M329*0.9,"0%")</f>
        <v>0%</v>
      </c>
      <c r="Q329" s="9">
        <f>IF(F329="Kredit",EOMONTH(B329,0),"")</f>
        <v>46053</v>
      </c>
      <c r="R329" s="17" t="str">
        <f>TEXT(B329,"dddd")</f>
        <v>Saturday</v>
      </c>
    </row>
    <row r="330" spans="1:18">
      <c r="A330" s="5" t="s">
        <v>337</v>
      </c>
      <c r="B330" s="8">
        <v>46154</v>
      </c>
      <c r="C330" s="5" t="s">
        <v>976</v>
      </c>
      <c r="D330" s="5" t="s">
        <v>971</v>
      </c>
      <c r="E330" s="5" t="s">
        <v>982</v>
      </c>
      <c r="F330" s="5" t="s">
        <v>4</v>
      </c>
      <c r="G330" s="5">
        <v>5</v>
      </c>
      <c r="H330" s="5" t="s">
        <v>963</v>
      </c>
      <c r="I330" s="13">
        <v>502232840</v>
      </c>
      <c r="J330" s="10" t="s">
        <v>1313</v>
      </c>
      <c r="K330" t="str">
        <f>LEFT(C330,FIND(" ",C330)-1)&amp;"-"&amp;E330&amp;" "&amp;"Filialina çardırılma"</f>
        <v>Nərgin-Baki Filialina çardırılma</v>
      </c>
      <c r="L330">
        <f>VLOOKUP(D330,Anbar!$A$2:$B$5,2,FALSE)</f>
        <v>1200</v>
      </c>
      <c r="M330">
        <f>VLOOKUP(D330,Anbar!$A$2:$C$5,3,FALSE)</f>
        <v>1800</v>
      </c>
      <c r="N330">
        <f t="shared" si="10"/>
        <v>9000</v>
      </c>
      <c r="O330">
        <f t="shared" si="11"/>
        <v>3000</v>
      </c>
      <c r="P330" t="str">
        <f>IF(AND(F330="Nağd",G330&gt;5),M330*0.9,"0%")</f>
        <v>0%</v>
      </c>
      <c r="Q330" s="9">
        <f>IF(F330="Kredit",EOMONTH(B330,0),"")</f>
        <v>46173</v>
      </c>
      <c r="R330" s="17" t="str">
        <f>TEXT(B330,"dddd")</f>
        <v>Tuesday</v>
      </c>
    </row>
    <row r="331" spans="1:18">
      <c r="A331" s="5" t="s">
        <v>338</v>
      </c>
      <c r="B331" s="8">
        <v>46066</v>
      </c>
      <c r="C331" s="5" t="s">
        <v>978</v>
      </c>
      <c r="D331" s="5" t="s">
        <v>15</v>
      </c>
      <c r="E331" s="5" t="s">
        <v>982</v>
      </c>
      <c r="F331" s="5" t="s">
        <v>4</v>
      </c>
      <c r="G331" s="5">
        <v>6</v>
      </c>
      <c r="H331" s="5" t="s">
        <v>963</v>
      </c>
      <c r="I331" s="13">
        <v>507463555</v>
      </c>
      <c r="J331" s="10" t="s">
        <v>1314</v>
      </c>
      <c r="K331" t="str">
        <f>LEFT(C331,FIND(" ",C331)-1)&amp;"-"&amp;E331&amp;" "&amp;"Filialina çardırılma"</f>
        <v>Əli-Baki Filialina çardırılma</v>
      </c>
      <c r="L331">
        <f>VLOOKUP(D331,Anbar!$A$2:$B$5,2,FALSE)</f>
        <v>600</v>
      </c>
      <c r="M331">
        <f>VLOOKUP(D331,Anbar!$A$2:$C$5,3,FALSE)</f>
        <v>950</v>
      </c>
      <c r="N331">
        <f t="shared" si="10"/>
        <v>5700</v>
      </c>
      <c r="O331">
        <f t="shared" si="11"/>
        <v>2100</v>
      </c>
      <c r="P331" t="str">
        <f>IF(AND(F331="Nağd",G331&gt;5),M331*0.9,"0%")</f>
        <v>0%</v>
      </c>
      <c r="Q331" s="9">
        <f>IF(F331="Kredit",EOMONTH(B331,0),"")</f>
        <v>46081</v>
      </c>
      <c r="R331" s="17" t="str">
        <f>TEXT(B331,"dddd")</f>
        <v>Friday</v>
      </c>
    </row>
    <row r="332" spans="1:18">
      <c r="A332" s="5" t="s">
        <v>339</v>
      </c>
      <c r="B332" s="8">
        <v>46152</v>
      </c>
      <c r="C332" s="5" t="s">
        <v>975</v>
      </c>
      <c r="D332" s="5" t="s">
        <v>968</v>
      </c>
      <c r="E332" s="5" t="s">
        <v>9</v>
      </c>
      <c r="F332" s="5" t="s">
        <v>4</v>
      </c>
      <c r="G332" s="5">
        <v>3</v>
      </c>
      <c r="H332" s="5" t="s">
        <v>963</v>
      </c>
      <c r="I332" s="13">
        <v>704032003</v>
      </c>
      <c r="J332" s="10" t="s">
        <v>1315</v>
      </c>
      <c r="K332" t="str">
        <f>LEFT(C332,FIND(" ",C332)-1)&amp;"-"&amp;E332&amp;" "&amp;"Filialina çardırılma"</f>
        <v>Murad-Gence Filialina çardırılma</v>
      </c>
      <c r="L332">
        <f>VLOOKUP(D332,Anbar!$A$2:$B$5,2,FALSE)</f>
        <v>400</v>
      </c>
      <c r="M332">
        <f>VLOOKUP(D332,Anbar!$A$2:$C$5,3,FALSE)</f>
        <v>650</v>
      </c>
      <c r="N332">
        <f t="shared" si="10"/>
        <v>1950</v>
      </c>
      <c r="O332">
        <f t="shared" si="11"/>
        <v>750</v>
      </c>
      <c r="P332" t="str">
        <f>IF(AND(F332="Nağd",G332&gt;5),M332*0.9,"0%")</f>
        <v>0%</v>
      </c>
      <c r="Q332" s="9">
        <f>IF(F332="Kredit",EOMONTH(B332,0),"")</f>
        <v>46173</v>
      </c>
      <c r="R332" s="17" t="str">
        <f>TEXT(B332,"dddd")</f>
        <v>Sunday</v>
      </c>
    </row>
    <row r="333" spans="1:18">
      <c r="A333" s="5" t="s">
        <v>340</v>
      </c>
      <c r="B333" s="8">
        <v>46129</v>
      </c>
      <c r="C333" s="5" t="s">
        <v>978</v>
      </c>
      <c r="D333" s="5" t="s">
        <v>968</v>
      </c>
      <c r="E333" s="5" t="s">
        <v>9</v>
      </c>
      <c r="F333" s="5" t="s">
        <v>4</v>
      </c>
      <c r="G333" s="5">
        <v>3</v>
      </c>
      <c r="H333" s="5" t="s">
        <v>963</v>
      </c>
      <c r="I333" s="13">
        <v>708661758</v>
      </c>
      <c r="J333" s="10" t="s">
        <v>1316</v>
      </c>
      <c r="K333" t="str">
        <f>LEFT(C333,FIND(" ",C333)-1)&amp;"-"&amp;E333&amp;" "&amp;"Filialina çardırılma"</f>
        <v>Əli-Gence Filialina çardırılma</v>
      </c>
      <c r="L333">
        <f>VLOOKUP(D333,Anbar!$A$2:$B$5,2,FALSE)</f>
        <v>400</v>
      </c>
      <c r="M333">
        <f>VLOOKUP(D333,Anbar!$A$2:$C$5,3,FALSE)</f>
        <v>650</v>
      </c>
      <c r="N333">
        <f t="shared" si="10"/>
        <v>1950</v>
      </c>
      <c r="O333">
        <f t="shared" si="11"/>
        <v>750</v>
      </c>
      <c r="P333" t="str">
        <f>IF(AND(F333="Nağd",G333&gt;5),M333*0.9,"0%")</f>
        <v>0%</v>
      </c>
      <c r="Q333" s="9">
        <f>IF(F333="Kredit",EOMONTH(B333,0),"")</f>
        <v>46142</v>
      </c>
      <c r="R333" s="17" t="str">
        <f>TEXT(B333,"dddd")</f>
        <v>Friday</v>
      </c>
    </row>
    <row r="334" spans="1:18">
      <c r="A334" s="5" t="s">
        <v>341</v>
      </c>
      <c r="B334" s="8">
        <v>46043</v>
      </c>
      <c r="C334" s="5" t="s">
        <v>6</v>
      </c>
      <c r="D334" s="5" t="s">
        <v>15</v>
      </c>
      <c r="E334" s="5" t="s">
        <v>966</v>
      </c>
      <c r="F334" s="5" t="s">
        <v>4</v>
      </c>
      <c r="G334" s="5">
        <v>2</v>
      </c>
      <c r="H334" s="5" t="s">
        <v>963</v>
      </c>
      <c r="I334" s="13">
        <v>700042126</v>
      </c>
      <c r="J334" s="10" t="s">
        <v>1317</v>
      </c>
      <c r="K334" t="str">
        <f>LEFT(C334,FIND(" ",C334)-1)&amp;"-"&amp;E334&amp;" "&amp;"Filialina çardırılma"</f>
        <v>Zaur-Bakı Filialina çardırılma</v>
      </c>
      <c r="L334">
        <f>VLOOKUP(D334,Anbar!$A$2:$B$5,2,FALSE)</f>
        <v>600</v>
      </c>
      <c r="M334">
        <f>VLOOKUP(D334,Anbar!$A$2:$C$5,3,FALSE)</f>
        <v>950</v>
      </c>
      <c r="N334">
        <f t="shared" si="10"/>
        <v>1900</v>
      </c>
      <c r="O334">
        <f t="shared" si="11"/>
        <v>700</v>
      </c>
      <c r="P334" t="str">
        <f>IF(AND(F334="Nağd",G334&gt;5),M334*0.9,"0%")</f>
        <v>0%</v>
      </c>
      <c r="Q334" s="9">
        <f>IF(F334="Kredit",EOMONTH(B334,0),"")</f>
        <v>46053</v>
      </c>
      <c r="R334" s="17" t="str">
        <f>TEXT(B334,"dddd")</f>
        <v>Wednesday</v>
      </c>
    </row>
    <row r="335" spans="1:18">
      <c r="A335" s="5" t="s">
        <v>342</v>
      </c>
      <c r="B335" s="8">
        <v>46085</v>
      </c>
      <c r="C335" s="5" t="s">
        <v>979</v>
      </c>
      <c r="D335" s="5" t="s">
        <v>20</v>
      </c>
      <c r="E335" s="5" t="s">
        <v>9</v>
      </c>
      <c r="F335" s="5" t="s">
        <v>4</v>
      </c>
      <c r="G335" s="5">
        <v>6</v>
      </c>
      <c r="H335" s="5" t="s">
        <v>963</v>
      </c>
      <c r="I335" s="13">
        <v>777614808</v>
      </c>
      <c r="J335" s="10" t="s">
        <v>1318</v>
      </c>
      <c r="K335" t="str">
        <f>LEFT(C335,FIND(" ",C335)-1)&amp;"-"&amp;E335&amp;" "&amp;"Filialina çardırılma"</f>
        <v>Leyla-Gence Filialina çardırılma</v>
      </c>
      <c r="L335">
        <f>VLOOKUP(D335,Anbar!$A$2:$B$5,2,FALSE)</f>
        <v>15</v>
      </c>
      <c r="M335">
        <f>VLOOKUP(D335,Anbar!$A$2:$C$5,3,FALSE)</f>
        <v>45</v>
      </c>
      <c r="N335">
        <f t="shared" si="10"/>
        <v>270</v>
      </c>
      <c r="O335">
        <f t="shared" si="11"/>
        <v>180</v>
      </c>
      <c r="P335" t="str">
        <f>IF(AND(F335="Nağd",G335&gt;5),M335*0.9,"0%")</f>
        <v>0%</v>
      </c>
      <c r="Q335" s="9">
        <f>IF(F335="Kredit",EOMONTH(B335,0),"")</f>
        <v>46112</v>
      </c>
      <c r="R335" s="17" t="str">
        <f>TEXT(B335,"dddd")</f>
        <v>Wednesday</v>
      </c>
    </row>
    <row r="336" spans="1:18">
      <c r="A336" s="5" t="s">
        <v>343</v>
      </c>
      <c r="B336" s="8">
        <v>46045</v>
      </c>
      <c r="C336" s="5" t="s">
        <v>977</v>
      </c>
      <c r="D336" s="5" t="s">
        <v>971</v>
      </c>
      <c r="E336" s="5" t="s">
        <v>966</v>
      </c>
      <c r="F336" s="5" t="s">
        <v>4</v>
      </c>
      <c r="G336" s="5">
        <v>9</v>
      </c>
      <c r="H336" s="5" t="s">
        <v>963</v>
      </c>
      <c r="I336" s="13">
        <v>778145245</v>
      </c>
      <c r="J336" s="10" t="s">
        <v>1319</v>
      </c>
      <c r="K336" t="str">
        <f>LEFT(C336,FIND(" ",C336)-1)&amp;"-"&amp;E336&amp;" "&amp;"Filialina çardırılma"</f>
        <v>Elnur-Bakı Filialina çardırılma</v>
      </c>
      <c r="L336">
        <f>VLOOKUP(D336,Anbar!$A$2:$B$5,2,FALSE)</f>
        <v>1200</v>
      </c>
      <c r="M336">
        <f>VLOOKUP(D336,Anbar!$A$2:$C$5,3,FALSE)</f>
        <v>1800</v>
      </c>
      <c r="N336">
        <f t="shared" si="10"/>
        <v>16200</v>
      </c>
      <c r="O336">
        <f t="shared" si="11"/>
        <v>5400</v>
      </c>
      <c r="P336" t="str">
        <f>IF(AND(F336="Nağd",G336&gt;5),M336*0.9,"0%")</f>
        <v>0%</v>
      </c>
      <c r="Q336" s="9">
        <f>IF(F336="Kredit",EOMONTH(B336,0),"")</f>
        <v>46053</v>
      </c>
      <c r="R336" s="17" t="str">
        <f>TEXT(B336,"dddd")</f>
        <v>Friday</v>
      </c>
    </row>
    <row r="337" spans="1:18">
      <c r="A337" s="5" t="s">
        <v>344</v>
      </c>
      <c r="B337" s="8">
        <v>46087</v>
      </c>
      <c r="C337" s="5" t="s">
        <v>978</v>
      </c>
      <c r="D337" s="5" t="s">
        <v>20</v>
      </c>
      <c r="E337" s="5" t="s">
        <v>980</v>
      </c>
      <c r="F337" s="5" t="s">
        <v>965</v>
      </c>
      <c r="G337" s="5">
        <v>6</v>
      </c>
      <c r="H337" s="5" t="s">
        <v>963</v>
      </c>
      <c r="I337" s="13">
        <v>705262569</v>
      </c>
      <c r="J337" s="10" t="s">
        <v>1320</v>
      </c>
      <c r="K337" t="str">
        <f>LEFT(C337,FIND(" ",C337)-1)&amp;"-"&amp;E337&amp;" "&amp;"Filialina çardırılma"</f>
        <v>Əli-Sumqayit Filialina çardırılma</v>
      </c>
      <c r="L337">
        <f>VLOOKUP(D337,Anbar!$A$2:$B$5,2,FALSE)</f>
        <v>15</v>
      </c>
      <c r="M337">
        <f>VLOOKUP(D337,Anbar!$A$2:$C$5,3,FALSE)</f>
        <v>45</v>
      </c>
      <c r="N337">
        <f t="shared" si="10"/>
        <v>270</v>
      </c>
      <c r="O337">
        <f t="shared" si="11"/>
        <v>180</v>
      </c>
      <c r="P337">
        <f>IF(AND(F337="Nağd",G337&gt;5),M337*0.9,"0%")</f>
        <v>40.5</v>
      </c>
      <c r="Q337" s="9" t="str">
        <f>IF(F337="Kredit",EOMONTH(B337,0),"")</f>
        <v/>
      </c>
      <c r="R337" s="17" t="str">
        <f>TEXT(B337,"dddd")</f>
        <v>Friday</v>
      </c>
    </row>
    <row r="338" spans="1:18">
      <c r="A338" s="5" t="s">
        <v>345</v>
      </c>
      <c r="B338" s="8">
        <v>46122</v>
      </c>
      <c r="C338" s="5" t="s">
        <v>975</v>
      </c>
      <c r="D338" s="5" t="s">
        <v>20</v>
      </c>
      <c r="E338" s="5" t="s">
        <v>982</v>
      </c>
      <c r="F338" s="5" t="s">
        <v>4</v>
      </c>
      <c r="G338" s="5">
        <v>1</v>
      </c>
      <c r="H338" s="5" t="s">
        <v>963</v>
      </c>
      <c r="I338" s="13">
        <v>508728669</v>
      </c>
      <c r="J338" s="10" t="s">
        <v>1321</v>
      </c>
      <c r="K338" t="str">
        <f>LEFT(C338,FIND(" ",C338)-1)&amp;"-"&amp;E338&amp;" "&amp;"Filialina çardırılma"</f>
        <v>Murad-Baki Filialina çardırılma</v>
      </c>
      <c r="L338">
        <f>VLOOKUP(D338,Anbar!$A$2:$B$5,2,FALSE)</f>
        <v>15</v>
      </c>
      <c r="M338">
        <f>VLOOKUP(D338,Anbar!$A$2:$C$5,3,FALSE)</f>
        <v>45</v>
      </c>
      <c r="N338">
        <f t="shared" si="10"/>
        <v>45</v>
      </c>
      <c r="O338">
        <f t="shared" si="11"/>
        <v>30</v>
      </c>
      <c r="P338" t="str">
        <f>IF(AND(F338="Nağd",G338&gt;5),M338*0.9,"0%")</f>
        <v>0%</v>
      </c>
      <c r="Q338" s="9">
        <f>IF(F338="Kredit",EOMONTH(B338,0),"")</f>
        <v>46142</v>
      </c>
      <c r="R338" s="17" t="str">
        <f>TEXT(B338,"dddd")</f>
        <v>Friday</v>
      </c>
    </row>
    <row r="339" spans="1:18">
      <c r="A339" s="5" t="s">
        <v>346</v>
      </c>
      <c r="B339" s="8">
        <v>46138</v>
      </c>
      <c r="C339" s="5" t="s">
        <v>974</v>
      </c>
      <c r="D339" s="5" t="s">
        <v>20</v>
      </c>
      <c r="E339" s="5" t="s">
        <v>980</v>
      </c>
      <c r="F339" s="5" t="s">
        <v>4</v>
      </c>
      <c r="G339" s="5">
        <v>1</v>
      </c>
      <c r="H339" s="5" t="s">
        <v>963</v>
      </c>
      <c r="I339" s="13">
        <v>702540731</v>
      </c>
      <c r="J339" s="10" t="s">
        <v>1322</v>
      </c>
      <c r="K339" t="str">
        <f>LEFT(C339,FIND(" ",C339)-1)&amp;"-"&amp;E339&amp;" "&amp;"Filialina çardırılma"</f>
        <v>Ramil-Sumqayit Filialina çardırılma</v>
      </c>
      <c r="L339">
        <f>VLOOKUP(D339,Anbar!$A$2:$B$5,2,FALSE)</f>
        <v>15</v>
      </c>
      <c r="M339">
        <f>VLOOKUP(D339,Anbar!$A$2:$C$5,3,FALSE)</f>
        <v>45</v>
      </c>
      <c r="N339">
        <f t="shared" si="10"/>
        <v>45</v>
      </c>
      <c r="O339">
        <f t="shared" si="11"/>
        <v>30</v>
      </c>
      <c r="P339" t="str">
        <f>IF(AND(F339="Nağd",G339&gt;5),M339*0.9,"0%")</f>
        <v>0%</v>
      </c>
      <c r="Q339" s="9">
        <f>IF(F339="Kredit",EOMONTH(B339,0),"")</f>
        <v>46142</v>
      </c>
      <c r="R339" s="17" t="str">
        <f>TEXT(B339,"dddd")</f>
        <v>Sunday</v>
      </c>
    </row>
    <row r="340" spans="1:18">
      <c r="A340" s="5" t="s">
        <v>347</v>
      </c>
      <c r="B340" s="8">
        <v>46037</v>
      </c>
      <c r="C340" s="5" t="s">
        <v>976</v>
      </c>
      <c r="D340" s="5" t="s">
        <v>20</v>
      </c>
      <c r="E340" s="5" t="s">
        <v>980</v>
      </c>
      <c r="F340" s="5" t="s">
        <v>965</v>
      </c>
      <c r="G340" s="5">
        <v>5</v>
      </c>
      <c r="H340" s="5" t="s">
        <v>963</v>
      </c>
      <c r="I340" s="13">
        <v>551252221</v>
      </c>
      <c r="J340" s="10" t="s">
        <v>1323</v>
      </c>
      <c r="K340" t="str">
        <f>LEFT(C340,FIND(" ",C340)-1)&amp;"-"&amp;E340&amp;" "&amp;"Filialina çardırılma"</f>
        <v>Nərgin-Sumqayit Filialina çardırılma</v>
      </c>
      <c r="L340">
        <f>VLOOKUP(D340,Anbar!$A$2:$B$5,2,FALSE)</f>
        <v>15</v>
      </c>
      <c r="M340">
        <f>VLOOKUP(D340,Anbar!$A$2:$C$5,3,FALSE)</f>
        <v>45</v>
      </c>
      <c r="N340">
        <f t="shared" si="10"/>
        <v>225</v>
      </c>
      <c r="O340">
        <f t="shared" si="11"/>
        <v>150</v>
      </c>
      <c r="P340" t="str">
        <f>IF(AND(F340="Nağd",G340&gt;5),M340*0.9,"0%")</f>
        <v>0%</v>
      </c>
      <c r="Q340" s="9" t="str">
        <f>IF(F340="Kredit",EOMONTH(B340,0),"")</f>
        <v/>
      </c>
      <c r="R340" s="17" t="str">
        <f>TEXT(B340,"dddd")</f>
        <v>Thursday</v>
      </c>
    </row>
    <row r="341" spans="1:18">
      <c r="A341" s="5" t="s">
        <v>348</v>
      </c>
      <c r="B341" s="8">
        <v>46059</v>
      </c>
      <c r="C341" s="5" t="s">
        <v>979</v>
      </c>
      <c r="D341" s="5" t="s">
        <v>20</v>
      </c>
      <c r="E341" s="5" t="s">
        <v>980</v>
      </c>
      <c r="F341" s="5" t="s">
        <v>965</v>
      </c>
      <c r="G341" s="5">
        <v>7</v>
      </c>
      <c r="H341" s="5" t="s">
        <v>963</v>
      </c>
      <c r="I341" s="13">
        <v>508531524</v>
      </c>
      <c r="J341" s="10" t="s">
        <v>1324</v>
      </c>
      <c r="K341" t="str">
        <f>LEFT(C341,FIND(" ",C341)-1)&amp;"-"&amp;E341&amp;" "&amp;"Filialina çardırılma"</f>
        <v>Leyla-Sumqayit Filialina çardırılma</v>
      </c>
      <c r="L341">
        <f>VLOOKUP(D341,Anbar!$A$2:$B$5,2,FALSE)</f>
        <v>15</v>
      </c>
      <c r="M341">
        <f>VLOOKUP(D341,Anbar!$A$2:$C$5,3,FALSE)</f>
        <v>45</v>
      </c>
      <c r="N341">
        <f t="shared" si="10"/>
        <v>315</v>
      </c>
      <c r="O341">
        <f t="shared" si="11"/>
        <v>210</v>
      </c>
      <c r="P341">
        <f>IF(AND(F341="Nağd",G341&gt;5),M341*0.9,"0%")</f>
        <v>40.5</v>
      </c>
      <c r="Q341" s="9" t="str">
        <f>IF(F341="Kredit",EOMONTH(B341,0),"")</f>
        <v/>
      </c>
      <c r="R341" s="17" t="str">
        <f>TEXT(B341,"dddd")</f>
        <v>Friday</v>
      </c>
    </row>
    <row r="342" spans="1:18">
      <c r="A342" s="5" t="s">
        <v>349</v>
      </c>
      <c r="B342" s="8">
        <v>46127</v>
      </c>
      <c r="C342" s="5" t="s">
        <v>974</v>
      </c>
      <c r="D342" s="5" t="s">
        <v>20</v>
      </c>
      <c r="E342" s="5" t="s">
        <v>964</v>
      </c>
      <c r="F342" s="5" t="s">
        <v>4</v>
      </c>
      <c r="G342" s="5">
        <v>4</v>
      </c>
      <c r="H342" s="5" t="s">
        <v>963</v>
      </c>
      <c r="I342" s="13">
        <v>509152894</v>
      </c>
      <c r="J342" s="10" t="s">
        <v>1325</v>
      </c>
      <c r="K342" t="str">
        <f>LEFT(C342,FIND(" ",C342)-1)&amp;"-"&amp;E342&amp;" "&amp;"Filialina çardırılma"</f>
        <v>Ramil-Sumqayıt Filialina çardırılma</v>
      </c>
      <c r="L342">
        <f>VLOOKUP(D342,Anbar!$A$2:$B$5,2,FALSE)</f>
        <v>15</v>
      </c>
      <c r="M342">
        <f>VLOOKUP(D342,Anbar!$A$2:$C$5,3,FALSE)</f>
        <v>45</v>
      </c>
      <c r="N342">
        <f t="shared" si="10"/>
        <v>180</v>
      </c>
      <c r="O342">
        <f t="shared" si="11"/>
        <v>120</v>
      </c>
      <c r="P342" t="str">
        <f>IF(AND(F342="Nağd",G342&gt;5),M342*0.9,"0%")</f>
        <v>0%</v>
      </c>
      <c r="Q342" s="9">
        <f>IF(F342="Kredit",EOMONTH(B342,0),"")</f>
        <v>46142</v>
      </c>
      <c r="R342" s="17" t="str">
        <f>TEXT(B342,"dddd")</f>
        <v>Wednesday</v>
      </c>
    </row>
    <row r="343" spans="1:18">
      <c r="A343" s="5" t="s">
        <v>350</v>
      </c>
      <c r="B343" s="8">
        <v>46165</v>
      </c>
      <c r="C343" s="5" t="s">
        <v>967</v>
      </c>
      <c r="D343" s="5" t="s">
        <v>20</v>
      </c>
      <c r="E343" s="5" t="s">
        <v>980</v>
      </c>
      <c r="F343" s="5" t="s">
        <v>4</v>
      </c>
      <c r="G343" s="5">
        <v>4</v>
      </c>
      <c r="H343" s="5" t="s">
        <v>963</v>
      </c>
      <c r="I343" s="13">
        <v>704287993</v>
      </c>
      <c r="J343" s="10" t="s">
        <v>1326</v>
      </c>
      <c r="K343" t="str">
        <f>LEFT(C343,FIND(" ",C343)-1)&amp;"-"&amp;E343&amp;" "&amp;"Filialina çardırılma"</f>
        <v>Aysel-Sumqayit Filialina çardırılma</v>
      </c>
      <c r="L343">
        <f>VLOOKUP(D343,Anbar!$A$2:$B$5,2,FALSE)</f>
        <v>15</v>
      </c>
      <c r="M343">
        <f>VLOOKUP(D343,Anbar!$A$2:$C$5,3,FALSE)</f>
        <v>45</v>
      </c>
      <c r="N343">
        <f t="shared" si="10"/>
        <v>180</v>
      </c>
      <c r="O343">
        <f t="shared" si="11"/>
        <v>120</v>
      </c>
      <c r="P343" t="str">
        <f>IF(AND(F343="Nağd",G343&gt;5),M343*0.9,"0%")</f>
        <v>0%</v>
      </c>
      <c r="Q343" s="9">
        <f>IF(F343="Kredit",EOMONTH(B343,0),"")</f>
        <v>46173</v>
      </c>
      <c r="R343" s="17" t="str">
        <f>TEXT(B343,"dddd")</f>
        <v>Saturday</v>
      </c>
    </row>
    <row r="344" spans="1:18">
      <c r="A344" s="5" t="s">
        <v>351</v>
      </c>
      <c r="B344" s="8">
        <v>46088</v>
      </c>
      <c r="C344" s="5" t="s">
        <v>979</v>
      </c>
      <c r="D344" s="5" t="s">
        <v>20</v>
      </c>
      <c r="E344" s="5" t="s">
        <v>982</v>
      </c>
      <c r="F344" s="5" t="s">
        <v>4</v>
      </c>
      <c r="G344" s="5">
        <v>10</v>
      </c>
      <c r="H344" s="5" t="s">
        <v>963</v>
      </c>
      <c r="I344" s="13">
        <v>704614656</v>
      </c>
      <c r="J344" s="10" t="s">
        <v>1327</v>
      </c>
      <c r="K344" t="str">
        <f>LEFT(C344,FIND(" ",C344)-1)&amp;"-"&amp;E344&amp;" "&amp;"Filialina çardırılma"</f>
        <v>Leyla-Baki Filialina çardırılma</v>
      </c>
      <c r="L344">
        <f>VLOOKUP(D344,Anbar!$A$2:$B$5,2,FALSE)</f>
        <v>15</v>
      </c>
      <c r="M344">
        <f>VLOOKUP(D344,Anbar!$A$2:$C$5,3,FALSE)</f>
        <v>45</v>
      </c>
      <c r="N344">
        <f t="shared" si="10"/>
        <v>450</v>
      </c>
      <c r="O344">
        <f t="shared" si="11"/>
        <v>300</v>
      </c>
      <c r="P344" t="str">
        <f>IF(AND(F344="Nağd",G344&gt;5),M344*0.9,"0%")</f>
        <v>0%</v>
      </c>
      <c r="Q344" s="9">
        <f>IF(F344="Kredit",EOMONTH(B344,0),"")</f>
        <v>46112</v>
      </c>
      <c r="R344" s="17" t="str">
        <f>TEXT(B344,"dddd")</f>
        <v>Saturday</v>
      </c>
    </row>
    <row r="345" spans="1:18">
      <c r="A345" s="5" t="s">
        <v>352</v>
      </c>
      <c r="B345" s="8">
        <v>46106</v>
      </c>
      <c r="C345" s="5" t="s">
        <v>979</v>
      </c>
      <c r="D345" s="5" t="s">
        <v>20</v>
      </c>
      <c r="E345" s="5" t="s">
        <v>981</v>
      </c>
      <c r="F345" s="5" t="s">
        <v>7</v>
      </c>
      <c r="G345" s="5">
        <v>3</v>
      </c>
      <c r="H345" s="5" t="s">
        <v>963</v>
      </c>
      <c r="I345" s="13">
        <v>556525656</v>
      </c>
      <c r="J345" s="10" t="s">
        <v>1328</v>
      </c>
      <c r="K345" t="str">
        <f>LEFT(C345,FIND(" ",C345)-1)&amp;"-"&amp;E345&amp;" "&amp;"Filialina çardırılma"</f>
        <v>Leyla-Gəncə Filialina çardırılma</v>
      </c>
      <c r="L345">
        <f>VLOOKUP(D345,Anbar!$A$2:$B$5,2,FALSE)</f>
        <v>15</v>
      </c>
      <c r="M345">
        <f>VLOOKUP(D345,Anbar!$A$2:$C$5,3,FALSE)</f>
        <v>45</v>
      </c>
      <c r="N345">
        <f t="shared" si="10"/>
        <v>135</v>
      </c>
      <c r="O345">
        <f t="shared" si="11"/>
        <v>90</v>
      </c>
      <c r="P345" t="str">
        <f>IF(AND(F345="Nağd",G345&gt;5),M345*0.9,"0%")</f>
        <v>0%</v>
      </c>
      <c r="Q345" s="9" t="str">
        <f>IF(F345="Kredit",EOMONTH(B345,0),"")</f>
        <v/>
      </c>
      <c r="R345" s="17" t="str">
        <f>TEXT(B345,"dddd")</f>
        <v>Wednesday</v>
      </c>
    </row>
    <row r="346" spans="1:18">
      <c r="A346" s="5" t="s">
        <v>353</v>
      </c>
      <c r="B346" s="8">
        <v>46114</v>
      </c>
      <c r="C346" s="5" t="s">
        <v>978</v>
      </c>
      <c r="D346" s="5" t="s">
        <v>20</v>
      </c>
      <c r="E346" s="5" t="s">
        <v>982</v>
      </c>
      <c r="F346" s="5" t="s">
        <v>7</v>
      </c>
      <c r="G346" s="5">
        <v>7</v>
      </c>
      <c r="H346" s="5" t="s">
        <v>963</v>
      </c>
      <c r="I346" s="13">
        <v>500427885</v>
      </c>
      <c r="J346" s="10" t="s">
        <v>1329</v>
      </c>
      <c r="K346" t="str">
        <f>LEFT(C346,FIND(" ",C346)-1)&amp;"-"&amp;E346&amp;" "&amp;"Filialina çardırılma"</f>
        <v>Əli-Baki Filialina çardırılma</v>
      </c>
      <c r="L346">
        <f>VLOOKUP(D346,Anbar!$A$2:$B$5,2,FALSE)</f>
        <v>15</v>
      </c>
      <c r="M346">
        <f>VLOOKUP(D346,Anbar!$A$2:$C$5,3,FALSE)</f>
        <v>45</v>
      </c>
      <c r="N346">
        <f t="shared" si="10"/>
        <v>315</v>
      </c>
      <c r="O346">
        <f t="shared" si="11"/>
        <v>210</v>
      </c>
      <c r="P346" t="str">
        <f>IF(AND(F346="Nağd",G346&gt;5),M346*0.9,"0%")</f>
        <v>0%</v>
      </c>
      <c r="Q346" s="9" t="str">
        <f>IF(F346="Kredit",EOMONTH(B346,0),"")</f>
        <v/>
      </c>
      <c r="R346" s="17" t="str">
        <f>TEXT(B346,"dddd")</f>
        <v>Thursday</v>
      </c>
    </row>
    <row r="347" spans="1:18">
      <c r="A347" s="5" t="s">
        <v>354</v>
      </c>
      <c r="B347" s="8">
        <v>46068</v>
      </c>
      <c r="C347" s="5" t="s">
        <v>6</v>
      </c>
      <c r="D347" s="5" t="s">
        <v>20</v>
      </c>
      <c r="E347" s="5" t="s">
        <v>964</v>
      </c>
      <c r="F347" s="5" t="s">
        <v>7</v>
      </c>
      <c r="G347" s="5">
        <v>10</v>
      </c>
      <c r="H347" s="5" t="s">
        <v>963</v>
      </c>
      <c r="I347" s="13">
        <v>504925373</v>
      </c>
      <c r="J347" s="10" t="s">
        <v>1330</v>
      </c>
      <c r="K347" t="str">
        <f>LEFT(C347,FIND(" ",C347)-1)&amp;"-"&amp;E347&amp;" "&amp;"Filialina çardırılma"</f>
        <v>Zaur-Sumqayıt Filialina çardırılma</v>
      </c>
      <c r="L347">
        <f>VLOOKUP(D347,Anbar!$A$2:$B$5,2,FALSE)</f>
        <v>15</v>
      </c>
      <c r="M347">
        <f>VLOOKUP(D347,Anbar!$A$2:$C$5,3,FALSE)</f>
        <v>45</v>
      </c>
      <c r="N347">
        <f t="shared" si="10"/>
        <v>450</v>
      </c>
      <c r="O347">
        <f t="shared" si="11"/>
        <v>300</v>
      </c>
      <c r="P347" t="str">
        <f>IF(AND(F347="Nağd",G347&gt;5),M347*0.9,"0%")</f>
        <v>0%</v>
      </c>
      <c r="Q347" s="9" t="str">
        <f>IF(F347="Kredit",EOMONTH(B347,0),"")</f>
        <v/>
      </c>
      <c r="R347" s="17" t="str">
        <f>TEXT(B347,"dddd")</f>
        <v>Sunday</v>
      </c>
    </row>
    <row r="348" spans="1:18">
      <c r="A348" s="5" t="s">
        <v>355</v>
      </c>
      <c r="B348" s="8">
        <v>46063</v>
      </c>
      <c r="C348" s="5" t="s">
        <v>979</v>
      </c>
      <c r="D348" s="5" t="s">
        <v>20</v>
      </c>
      <c r="E348" s="5" t="s">
        <v>964</v>
      </c>
      <c r="F348" s="5" t="s">
        <v>965</v>
      </c>
      <c r="G348" s="5">
        <v>1</v>
      </c>
      <c r="H348" s="5" t="s">
        <v>963</v>
      </c>
      <c r="I348" s="13">
        <v>500761207</v>
      </c>
      <c r="J348" s="10" t="s">
        <v>1331</v>
      </c>
      <c r="K348" t="str">
        <f>LEFT(C348,FIND(" ",C348)-1)&amp;"-"&amp;E348&amp;" "&amp;"Filialina çardırılma"</f>
        <v>Leyla-Sumqayıt Filialina çardırılma</v>
      </c>
      <c r="L348">
        <f>VLOOKUP(D348,Anbar!$A$2:$B$5,2,FALSE)</f>
        <v>15</v>
      </c>
      <c r="M348">
        <f>VLOOKUP(D348,Anbar!$A$2:$C$5,3,FALSE)</f>
        <v>45</v>
      </c>
      <c r="N348">
        <f t="shared" si="10"/>
        <v>45</v>
      </c>
      <c r="O348">
        <f t="shared" si="11"/>
        <v>30</v>
      </c>
      <c r="P348" t="str">
        <f>IF(AND(F348="Nağd",G348&gt;5),M348*0.9,"0%")</f>
        <v>0%</v>
      </c>
      <c r="Q348" s="9" t="str">
        <f>IF(F348="Kredit",EOMONTH(B348,0),"")</f>
        <v/>
      </c>
      <c r="R348" s="17" t="str">
        <f>TEXT(B348,"dddd")</f>
        <v>Tuesday</v>
      </c>
    </row>
    <row r="349" spans="1:18">
      <c r="A349" s="5" t="s">
        <v>356</v>
      </c>
      <c r="B349" s="8">
        <v>46138</v>
      </c>
      <c r="C349" s="5" t="s">
        <v>974</v>
      </c>
      <c r="D349" s="5" t="s">
        <v>15</v>
      </c>
      <c r="E349" s="5" t="s">
        <v>980</v>
      </c>
      <c r="F349" s="5" t="s">
        <v>965</v>
      </c>
      <c r="G349" s="5">
        <v>1</v>
      </c>
      <c r="H349" s="5" t="s">
        <v>963</v>
      </c>
      <c r="I349" s="13">
        <v>700030647</v>
      </c>
      <c r="J349" s="10" t="s">
        <v>1332</v>
      </c>
      <c r="K349" t="str">
        <f>LEFT(C349,FIND(" ",C349)-1)&amp;"-"&amp;E349&amp;" "&amp;"Filialina çardırılma"</f>
        <v>Ramil-Sumqayit Filialina çardırılma</v>
      </c>
      <c r="L349">
        <f>VLOOKUP(D349,Anbar!$A$2:$B$5,2,FALSE)</f>
        <v>600</v>
      </c>
      <c r="M349">
        <f>VLOOKUP(D349,Anbar!$A$2:$C$5,3,FALSE)</f>
        <v>950</v>
      </c>
      <c r="N349">
        <f t="shared" si="10"/>
        <v>950</v>
      </c>
      <c r="O349">
        <f t="shared" si="11"/>
        <v>350</v>
      </c>
      <c r="P349" t="str">
        <f>IF(AND(F349="Nağd",G349&gt;5),M349*0.9,"0%")</f>
        <v>0%</v>
      </c>
      <c r="Q349" s="9" t="str">
        <f>IF(F349="Kredit",EOMONTH(B349,0),"")</f>
        <v/>
      </c>
      <c r="R349" s="17" t="str">
        <f>TEXT(B349,"dddd")</f>
        <v>Sunday</v>
      </c>
    </row>
    <row r="350" spans="1:18">
      <c r="A350" s="5" t="s">
        <v>357</v>
      </c>
      <c r="B350" s="8">
        <v>46076</v>
      </c>
      <c r="C350" s="5" t="s">
        <v>6</v>
      </c>
      <c r="D350" s="5" t="s">
        <v>968</v>
      </c>
      <c r="E350" s="5" t="s">
        <v>980</v>
      </c>
      <c r="F350" s="5" t="s">
        <v>7</v>
      </c>
      <c r="G350" s="5">
        <v>4</v>
      </c>
      <c r="H350" s="5" t="s">
        <v>963</v>
      </c>
      <c r="I350" s="13">
        <v>500517212</v>
      </c>
      <c r="J350" s="10" t="s">
        <v>1333</v>
      </c>
      <c r="K350" t="str">
        <f>LEFT(C350,FIND(" ",C350)-1)&amp;"-"&amp;E350&amp;" "&amp;"Filialina çardırılma"</f>
        <v>Zaur-Sumqayit Filialina çardırılma</v>
      </c>
      <c r="L350">
        <f>VLOOKUP(D350,Anbar!$A$2:$B$5,2,FALSE)</f>
        <v>400</v>
      </c>
      <c r="M350">
        <f>VLOOKUP(D350,Anbar!$A$2:$C$5,3,FALSE)</f>
        <v>650</v>
      </c>
      <c r="N350">
        <f t="shared" si="10"/>
        <v>2600</v>
      </c>
      <c r="O350">
        <f t="shared" si="11"/>
        <v>1000</v>
      </c>
      <c r="P350" t="str">
        <f>IF(AND(F350="Nağd",G350&gt;5),M350*0.9,"0%")</f>
        <v>0%</v>
      </c>
      <c r="Q350" s="9" t="str">
        <f>IF(F350="Kredit",EOMONTH(B350,0),"")</f>
        <v/>
      </c>
      <c r="R350" s="17" t="str">
        <f>TEXT(B350,"dddd")</f>
        <v>Monday</v>
      </c>
    </row>
    <row r="351" spans="1:18">
      <c r="A351" s="5" t="s">
        <v>358</v>
      </c>
      <c r="B351" s="8">
        <v>46082</v>
      </c>
      <c r="C351" s="5" t="s">
        <v>975</v>
      </c>
      <c r="D351" s="5" t="s">
        <v>20</v>
      </c>
      <c r="E351" s="5" t="s">
        <v>983</v>
      </c>
      <c r="F351" s="5" t="s">
        <v>7</v>
      </c>
      <c r="G351" s="5">
        <v>10</v>
      </c>
      <c r="H351" s="5" t="s">
        <v>963</v>
      </c>
      <c r="I351" s="13">
        <v>707459342</v>
      </c>
      <c r="J351" s="10" t="s">
        <v>1334</v>
      </c>
      <c r="K351" t="str">
        <f>LEFT(C351,FIND(" ",C351)-1)&amp;"-"&amp;E351&amp;" "&amp;"Filialina çardırılma"</f>
        <v>Murad-Naməlum Filialina çardırılma</v>
      </c>
      <c r="L351">
        <f>VLOOKUP(D351,Anbar!$A$2:$B$5,2,FALSE)</f>
        <v>15</v>
      </c>
      <c r="M351">
        <f>VLOOKUP(D351,Anbar!$A$2:$C$5,3,FALSE)</f>
        <v>45</v>
      </c>
      <c r="N351">
        <f t="shared" si="10"/>
        <v>450</v>
      </c>
      <c r="O351">
        <f t="shared" si="11"/>
        <v>300</v>
      </c>
      <c r="P351" t="str">
        <f>IF(AND(F351="Nağd",G351&gt;5),M351*0.9,"0%")</f>
        <v>0%</v>
      </c>
      <c r="Q351" s="9" t="str">
        <f>IF(F351="Kredit",EOMONTH(B351,0),"")</f>
        <v/>
      </c>
      <c r="R351" s="17" t="str">
        <f>TEXT(B351,"dddd")</f>
        <v>Sunday</v>
      </c>
    </row>
    <row r="352" spans="1:18">
      <c r="A352" s="5" t="s">
        <v>359</v>
      </c>
      <c r="B352" s="8">
        <v>46108</v>
      </c>
      <c r="C352" s="5" t="s">
        <v>6</v>
      </c>
      <c r="D352" s="5" t="s">
        <v>971</v>
      </c>
      <c r="E352" s="5" t="s">
        <v>980</v>
      </c>
      <c r="F352" s="5" t="s">
        <v>965</v>
      </c>
      <c r="G352" s="5">
        <v>2</v>
      </c>
      <c r="H352" s="5" t="s">
        <v>963</v>
      </c>
      <c r="I352" s="13">
        <v>551302108</v>
      </c>
      <c r="J352" s="10" t="s">
        <v>1335</v>
      </c>
      <c r="K352" t="str">
        <f>LEFT(C352,FIND(" ",C352)-1)&amp;"-"&amp;E352&amp;" "&amp;"Filialina çardırılma"</f>
        <v>Zaur-Sumqayit Filialina çardırılma</v>
      </c>
      <c r="L352">
        <f>VLOOKUP(D352,Anbar!$A$2:$B$5,2,FALSE)</f>
        <v>1200</v>
      </c>
      <c r="M352">
        <f>VLOOKUP(D352,Anbar!$A$2:$C$5,3,FALSE)</f>
        <v>1800</v>
      </c>
      <c r="N352">
        <f t="shared" si="10"/>
        <v>3600</v>
      </c>
      <c r="O352">
        <f t="shared" si="11"/>
        <v>1200</v>
      </c>
      <c r="P352" t="str">
        <f>IF(AND(F352="Nağd",G352&gt;5),M352*0.9,"0%")</f>
        <v>0%</v>
      </c>
      <c r="Q352" s="9" t="str">
        <f>IF(F352="Kredit",EOMONTH(B352,0),"")</f>
        <v/>
      </c>
      <c r="R352" s="17" t="str">
        <f>TEXT(B352,"dddd")</f>
        <v>Friday</v>
      </c>
    </row>
    <row r="353" spans="1:18">
      <c r="A353" s="5" t="s">
        <v>360</v>
      </c>
      <c r="B353" s="8">
        <v>46136</v>
      </c>
      <c r="C353" s="5" t="s">
        <v>975</v>
      </c>
      <c r="D353" s="5" t="s">
        <v>15</v>
      </c>
      <c r="E353" s="5" t="s">
        <v>982</v>
      </c>
      <c r="F353" s="5" t="s">
        <v>4</v>
      </c>
      <c r="G353" s="5">
        <v>3</v>
      </c>
      <c r="H353" s="5" t="s">
        <v>963</v>
      </c>
      <c r="I353" s="13">
        <v>550245798</v>
      </c>
      <c r="J353" s="10" t="s">
        <v>1336</v>
      </c>
      <c r="K353" t="str">
        <f>LEFT(C353,FIND(" ",C353)-1)&amp;"-"&amp;E353&amp;" "&amp;"Filialina çardırılma"</f>
        <v>Murad-Baki Filialina çardırılma</v>
      </c>
      <c r="L353">
        <f>VLOOKUP(D353,Anbar!$A$2:$B$5,2,FALSE)</f>
        <v>600</v>
      </c>
      <c r="M353">
        <f>VLOOKUP(D353,Anbar!$A$2:$C$5,3,FALSE)</f>
        <v>950</v>
      </c>
      <c r="N353">
        <f t="shared" si="10"/>
        <v>2850</v>
      </c>
      <c r="O353">
        <f t="shared" si="11"/>
        <v>1050</v>
      </c>
      <c r="P353" t="str">
        <f>IF(AND(F353="Nağd",G353&gt;5),M353*0.9,"0%")</f>
        <v>0%</v>
      </c>
      <c r="Q353" s="9">
        <f>IF(F353="Kredit",EOMONTH(B353,0),"")</f>
        <v>46142</v>
      </c>
      <c r="R353" s="17" t="str">
        <f>TEXT(B353,"dddd")</f>
        <v>Friday</v>
      </c>
    </row>
    <row r="354" spans="1:18">
      <c r="A354" s="5" t="s">
        <v>361</v>
      </c>
      <c r="B354" s="8">
        <v>46177</v>
      </c>
      <c r="C354" s="5" t="s">
        <v>974</v>
      </c>
      <c r="D354" s="5" t="s">
        <v>971</v>
      </c>
      <c r="E354" s="5" t="s">
        <v>966</v>
      </c>
      <c r="F354" s="5" t="s">
        <v>4</v>
      </c>
      <c r="G354" s="5">
        <v>3</v>
      </c>
      <c r="H354" s="5" t="s">
        <v>963</v>
      </c>
      <c r="I354" s="13">
        <v>773728422</v>
      </c>
      <c r="J354" s="10" t="s">
        <v>1337</v>
      </c>
      <c r="K354" t="str">
        <f>LEFT(C354,FIND(" ",C354)-1)&amp;"-"&amp;E354&amp;" "&amp;"Filialina çardırılma"</f>
        <v>Ramil-Bakı Filialina çardırılma</v>
      </c>
      <c r="L354">
        <f>VLOOKUP(D354,Anbar!$A$2:$B$5,2,FALSE)</f>
        <v>1200</v>
      </c>
      <c r="M354">
        <f>VLOOKUP(D354,Anbar!$A$2:$C$5,3,FALSE)</f>
        <v>1800</v>
      </c>
      <c r="N354">
        <f t="shared" si="10"/>
        <v>5400</v>
      </c>
      <c r="O354">
        <f t="shared" si="11"/>
        <v>1800</v>
      </c>
      <c r="P354" t="str">
        <f>IF(AND(F354="Nağd",G354&gt;5),M354*0.9,"0%")</f>
        <v>0%</v>
      </c>
      <c r="Q354" s="9">
        <f>IF(F354="Kredit",EOMONTH(B354,0),"")</f>
        <v>46203</v>
      </c>
      <c r="R354" s="17" t="str">
        <f>TEXT(B354,"dddd")</f>
        <v>Thursday</v>
      </c>
    </row>
    <row r="355" spans="1:18">
      <c r="A355" s="5" t="s">
        <v>362</v>
      </c>
      <c r="B355" s="8">
        <v>46105</v>
      </c>
      <c r="C355" s="5" t="s">
        <v>978</v>
      </c>
      <c r="D355" s="5" t="s">
        <v>968</v>
      </c>
      <c r="E355" s="5" t="s">
        <v>964</v>
      </c>
      <c r="F355" s="5" t="s">
        <v>965</v>
      </c>
      <c r="G355" s="5">
        <v>10</v>
      </c>
      <c r="H355" s="5" t="s">
        <v>963</v>
      </c>
      <c r="I355" s="13">
        <v>709848821</v>
      </c>
      <c r="J355" s="10" t="s">
        <v>1338</v>
      </c>
      <c r="K355" t="str">
        <f>LEFT(C355,FIND(" ",C355)-1)&amp;"-"&amp;E355&amp;" "&amp;"Filialina çardırılma"</f>
        <v>Əli-Sumqayıt Filialina çardırılma</v>
      </c>
      <c r="L355">
        <f>VLOOKUP(D355,Anbar!$A$2:$B$5,2,FALSE)</f>
        <v>400</v>
      </c>
      <c r="M355">
        <f>VLOOKUP(D355,Anbar!$A$2:$C$5,3,FALSE)</f>
        <v>650</v>
      </c>
      <c r="N355">
        <f t="shared" si="10"/>
        <v>6500</v>
      </c>
      <c r="O355">
        <f t="shared" si="11"/>
        <v>2500</v>
      </c>
      <c r="P355">
        <f>IF(AND(F355="Nağd",G355&gt;5),M355*0.9,"0%")</f>
        <v>585</v>
      </c>
      <c r="Q355" s="9" t="str">
        <f>IF(F355="Kredit",EOMONTH(B355,0),"")</f>
        <v/>
      </c>
      <c r="R355" s="17" t="str">
        <f>TEXT(B355,"dddd")</f>
        <v>Tuesday</v>
      </c>
    </row>
    <row r="356" spans="1:18">
      <c r="A356" s="5" t="s">
        <v>363</v>
      </c>
      <c r="B356" s="8">
        <v>46120</v>
      </c>
      <c r="C356" s="5" t="s">
        <v>977</v>
      </c>
      <c r="D356" s="5" t="s">
        <v>968</v>
      </c>
      <c r="E356" s="5" t="s">
        <v>980</v>
      </c>
      <c r="F356" s="5" t="s">
        <v>7</v>
      </c>
      <c r="G356" s="5">
        <v>9</v>
      </c>
      <c r="H356" s="5" t="s">
        <v>963</v>
      </c>
      <c r="I356" s="13">
        <v>514306926</v>
      </c>
      <c r="J356" s="10" t="s">
        <v>1339</v>
      </c>
      <c r="K356" t="str">
        <f>LEFT(C356,FIND(" ",C356)-1)&amp;"-"&amp;E356&amp;" "&amp;"Filialina çardırılma"</f>
        <v>Elnur-Sumqayit Filialina çardırılma</v>
      </c>
      <c r="L356">
        <f>VLOOKUP(D356,Anbar!$A$2:$B$5,2,FALSE)</f>
        <v>400</v>
      </c>
      <c r="M356">
        <f>VLOOKUP(D356,Anbar!$A$2:$C$5,3,FALSE)</f>
        <v>650</v>
      </c>
      <c r="N356">
        <f t="shared" si="10"/>
        <v>5850</v>
      </c>
      <c r="O356">
        <f t="shared" si="11"/>
        <v>2250</v>
      </c>
      <c r="P356" t="str">
        <f>IF(AND(F356="Nağd",G356&gt;5),M356*0.9,"0%")</f>
        <v>0%</v>
      </c>
      <c r="Q356" s="9" t="str">
        <f>IF(F356="Kredit",EOMONTH(B356,0),"")</f>
        <v/>
      </c>
      <c r="R356" s="17" t="str">
        <f>TEXT(B356,"dddd")</f>
        <v>Wednesday</v>
      </c>
    </row>
    <row r="357" spans="1:18">
      <c r="A357" s="5" t="s">
        <v>364</v>
      </c>
      <c r="B357" s="8">
        <v>46080</v>
      </c>
      <c r="C357" s="5" t="s">
        <v>974</v>
      </c>
      <c r="D357" s="5" t="s">
        <v>15</v>
      </c>
      <c r="E357" s="5" t="s">
        <v>964</v>
      </c>
      <c r="F357" s="5" t="s">
        <v>7</v>
      </c>
      <c r="G357" s="5">
        <v>9</v>
      </c>
      <c r="H357" s="5" t="s">
        <v>963</v>
      </c>
      <c r="I357" s="13">
        <v>504372086</v>
      </c>
      <c r="J357" s="10" t="s">
        <v>1340</v>
      </c>
      <c r="K357" t="str">
        <f>LEFT(C357,FIND(" ",C357)-1)&amp;"-"&amp;E357&amp;" "&amp;"Filialina çardırılma"</f>
        <v>Ramil-Sumqayıt Filialina çardırılma</v>
      </c>
      <c r="L357">
        <f>VLOOKUP(D357,Anbar!$A$2:$B$5,2,FALSE)</f>
        <v>600</v>
      </c>
      <c r="M357">
        <f>VLOOKUP(D357,Anbar!$A$2:$C$5,3,FALSE)</f>
        <v>950</v>
      </c>
      <c r="N357">
        <f t="shared" si="10"/>
        <v>8550</v>
      </c>
      <c r="O357">
        <f t="shared" si="11"/>
        <v>3150</v>
      </c>
      <c r="P357" t="str">
        <f>IF(AND(F357="Nağd",G357&gt;5),M357*0.9,"0%")</f>
        <v>0%</v>
      </c>
      <c r="Q357" s="9" t="str">
        <f>IF(F357="Kredit",EOMONTH(B357,0),"")</f>
        <v/>
      </c>
      <c r="R357" s="17" t="str">
        <f>TEXT(B357,"dddd")</f>
        <v>Friday</v>
      </c>
    </row>
    <row r="358" spans="1:18">
      <c r="A358" s="5" t="s">
        <v>365</v>
      </c>
      <c r="B358" s="8">
        <v>46069</v>
      </c>
      <c r="C358" s="5" t="s">
        <v>967</v>
      </c>
      <c r="D358" s="5" t="s">
        <v>15</v>
      </c>
      <c r="E358" s="5" t="s">
        <v>964</v>
      </c>
      <c r="F358" s="5" t="s">
        <v>4</v>
      </c>
      <c r="G358" s="5">
        <v>9</v>
      </c>
      <c r="H358" s="5" t="s">
        <v>963</v>
      </c>
      <c r="I358" s="13">
        <v>515706338</v>
      </c>
      <c r="J358" s="10" t="s">
        <v>1341</v>
      </c>
      <c r="K358" t="str">
        <f>LEFT(C358,FIND(" ",C358)-1)&amp;"-"&amp;E358&amp;" "&amp;"Filialina çardırılma"</f>
        <v>Aysel-Sumqayıt Filialina çardırılma</v>
      </c>
      <c r="L358">
        <f>VLOOKUP(D358,Anbar!$A$2:$B$5,2,FALSE)</f>
        <v>600</v>
      </c>
      <c r="M358">
        <f>VLOOKUP(D358,Anbar!$A$2:$C$5,3,FALSE)</f>
        <v>950</v>
      </c>
      <c r="N358">
        <f t="shared" si="10"/>
        <v>8550</v>
      </c>
      <c r="O358">
        <f t="shared" si="11"/>
        <v>3150</v>
      </c>
      <c r="P358" t="str">
        <f>IF(AND(F358="Nağd",G358&gt;5),M358*0.9,"0%")</f>
        <v>0%</v>
      </c>
      <c r="Q358" s="9">
        <f>IF(F358="Kredit",EOMONTH(B358,0),"")</f>
        <v>46081</v>
      </c>
      <c r="R358" s="17" t="str">
        <f>TEXT(B358,"dddd")</f>
        <v>Monday</v>
      </c>
    </row>
    <row r="359" spans="1:18">
      <c r="A359" s="5" t="s">
        <v>366</v>
      </c>
      <c r="B359" s="8">
        <v>46067</v>
      </c>
      <c r="C359" s="5" t="s">
        <v>967</v>
      </c>
      <c r="D359" s="5" t="s">
        <v>971</v>
      </c>
      <c r="E359" s="5" t="s">
        <v>9</v>
      </c>
      <c r="F359" s="5" t="s">
        <v>7</v>
      </c>
      <c r="G359" s="5">
        <v>10</v>
      </c>
      <c r="H359" s="5" t="s">
        <v>963</v>
      </c>
      <c r="I359" s="13">
        <v>708720322</v>
      </c>
      <c r="J359" s="10" t="s">
        <v>1342</v>
      </c>
      <c r="K359" t="str">
        <f>LEFT(C359,FIND(" ",C359)-1)&amp;"-"&amp;E359&amp;" "&amp;"Filialina çardırılma"</f>
        <v>Aysel-Gence Filialina çardırılma</v>
      </c>
      <c r="L359">
        <f>VLOOKUP(D359,Anbar!$A$2:$B$5,2,FALSE)</f>
        <v>1200</v>
      </c>
      <c r="M359">
        <f>VLOOKUP(D359,Anbar!$A$2:$C$5,3,FALSE)</f>
        <v>1800</v>
      </c>
      <c r="N359">
        <f t="shared" si="10"/>
        <v>18000</v>
      </c>
      <c r="O359">
        <f t="shared" si="11"/>
        <v>6000</v>
      </c>
      <c r="P359" t="str">
        <f>IF(AND(F359="Nağd",G359&gt;5),M359*0.9,"0%")</f>
        <v>0%</v>
      </c>
      <c r="Q359" s="9" t="str">
        <f>IF(F359="Kredit",EOMONTH(B359,0),"")</f>
        <v/>
      </c>
      <c r="R359" s="17" t="str">
        <f>TEXT(B359,"dddd")</f>
        <v>Saturday</v>
      </c>
    </row>
    <row r="360" spans="1:18">
      <c r="A360" s="5" t="s">
        <v>367</v>
      </c>
      <c r="B360" s="8">
        <v>46127</v>
      </c>
      <c r="C360" s="5" t="s">
        <v>979</v>
      </c>
      <c r="D360" s="5" t="s">
        <v>20</v>
      </c>
      <c r="E360" s="5" t="s">
        <v>980</v>
      </c>
      <c r="F360" s="5" t="s">
        <v>4</v>
      </c>
      <c r="G360" s="5">
        <v>10</v>
      </c>
      <c r="H360" s="5" t="s">
        <v>963</v>
      </c>
      <c r="I360" s="13">
        <v>772291493</v>
      </c>
      <c r="J360" s="10" t="s">
        <v>1343</v>
      </c>
      <c r="K360" t="str">
        <f>LEFT(C360,FIND(" ",C360)-1)&amp;"-"&amp;E360&amp;" "&amp;"Filialina çardırılma"</f>
        <v>Leyla-Sumqayit Filialina çardırılma</v>
      </c>
      <c r="L360">
        <f>VLOOKUP(D360,Anbar!$A$2:$B$5,2,FALSE)</f>
        <v>15</v>
      </c>
      <c r="M360">
        <f>VLOOKUP(D360,Anbar!$A$2:$C$5,3,FALSE)</f>
        <v>45</v>
      </c>
      <c r="N360">
        <f t="shared" si="10"/>
        <v>450</v>
      </c>
      <c r="O360">
        <f t="shared" si="11"/>
        <v>300</v>
      </c>
      <c r="P360" t="str">
        <f>IF(AND(F360="Nağd",G360&gt;5),M360*0.9,"0%")</f>
        <v>0%</v>
      </c>
      <c r="Q360" s="9">
        <f>IF(F360="Kredit",EOMONTH(B360,0),"")</f>
        <v>46142</v>
      </c>
      <c r="R360" s="17" t="str">
        <f>TEXT(B360,"dddd")</f>
        <v>Wednesday</v>
      </c>
    </row>
    <row r="361" spans="1:18">
      <c r="A361" s="5" t="s">
        <v>368</v>
      </c>
      <c r="B361" s="8">
        <v>46173</v>
      </c>
      <c r="C361" s="5" t="s">
        <v>976</v>
      </c>
      <c r="D361" s="5" t="s">
        <v>971</v>
      </c>
      <c r="E361" s="5" t="s">
        <v>964</v>
      </c>
      <c r="F361" s="5" t="s">
        <v>983</v>
      </c>
      <c r="G361" s="5">
        <v>4</v>
      </c>
      <c r="H361" s="5" t="s">
        <v>963</v>
      </c>
      <c r="I361" s="13">
        <v>772827379</v>
      </c>
      <c r="J361" s="10" t="s">
        <v>1344</v>
      </c>
      <c r="K361" t="str">
        <f>LEFT(C361,FIND(" ",C361)-1)&amp;"-"&amp;E361&amp;" "&amp;"Filialina çardırılma"</f>
        <v>Nərgin-Sumqayıt Filialina çardırılma</v>
      </c>
      <c r="L361">
        <f>VLOOKUP(D361,Anbar!$A$2:$B$5,2,FALSE)</f>
        <v>1200</v>
      </c>
      <c r="M361">
        <f>VLOOKUP(D361,Anbar!$A$2:$C$5,3,FALSE)</f>
        <v>1800</v>
      </c>
      <c r="N361">
        <f t="shared" si="10"/>
        <v>7200</v>
      </c>
      <c r="O361">
        <f t="shared" si="11"/>
        <v>2400</v>
      </c>
      <c r="P361" t="str">
        <f>IF(AND(F361="Nağd",G361&gt;5),M361*0.9,"0%")</f>
        <v>0%</v>
      </c>
      <c r="Q361" s="9" t="str">
        <f>IF(F361="Kredit",EOMONTH(B361,0),"")</f>
        <v/>
      </c>
      <c r="R361" s="17" t="str">
        <f>TEXT(B361,"dddd")</f>
        <v>Sunday</v>
      </c>
    </row>
    <row r="362" spans="1:18">
      <c r="A362" s="5" t="s">
        <v>369</v>
      </c>
      <c r="B362" s="8">
        <v>46171</v>
      </c>
      <c r="C362" s="5" t="s">
        <v>975</v>
      </c>
      <c r="D362" s="5" t="s">
        <v>15</v>
      </c>
      <c r="E362" s="5" t="s">
        <v>982</v>
      </c>
      <c r="F362" s="5" t="s">
        <v>4</v>
      </c>
      <c r="G362" s="5">
        <v>1</v>
      </c>
      <c r="H362" s="5" t="s">
        <v>963</v>
      </c>
      <c r="I362" s="13">
        <v>505052233</v>
      </c>
      <c r="J362" s="10" t="s">
        <v>1345</v>
      </c>
      <c r="K362" t="str">
        <f>LEFT(C362,FIND(" ",C362)-1)&amp;"-"&amp;E362&amp;" "&amp;"Filialina çardırılma"</f>
        <v>Murad-Baki Filialina çardırılma</v>
      </c>
      <c r="L362">
        <f>VLOOKUP(D362,Anbar!$A$2:$B$5,2,FALSE)</f>
        <v>600</v>
      </c>
      <c r="M362">
        <f>VLOOKUP(D362,Anbar!$A$2:$C$5,3,FALSE)</f>
        <v>950</v>
      </c>
      <c r="N362">
        <f t="shared" si="10"/>
        <v>950</v>
      </c>
      <c r="O362">
        <f t="shared" si="11"/>
        <v>350</v>
      </c>
      <c r="P362" t="str">
        <f>IF(AND(F362="Nağd",G362&gt;5),M362*0.9,"0%")</f>
        <v>0%</v>
      </c>
      <c r="Q362" s="9">
        <f>IF(F362="Kredit",EOMONTH(B362,0),"")</f>
        <v>46173</v>
      </c>
      <c r="R362" s="17" t="str">
        <f>TEXT(B362,"dddd")</f>
        <v>Friday</v>
      </c>
    </row>
    <row r="363" spans="1:18">
      <c r="A363" s="5" t="s">
        <v>370</v>
      </c>
      <c r="B363" s="8">
        <v>46161</v>
      </c>
      <c r="C363" s="5" t="s">
        <v>977</v>
      </c>
      <c r="D363" s="5" t="s">
        <v>20</v>
      </c>
      <c r="E363" s="5" t="s">
        <v>981</v>
      </c>
      <c r="F363" s="5" t="s">
        <v>7</v>
      </c>
      <c r="G363" s="5">
        <v>4</v>
      </c>
      <c r="H363" s="5" t="s">
        <v>963</v>
      </c>
      <c r="I363" s="13">
        <v>774943587</v>
      </c>
      <c r="J363" s="10" t="s">
        <v>1346</v>
      </c>
      <c r="K363" t="str">
        <f>LEFT(C363,FIND(" ",C363)-1)&amp;"-"&amp;E363&amp;" "&amp;"Filialina çardırılma"</f>
        <v>Elnur-Gəncə Filialina çardırılma</v>
      </c>
      <c r="L363">
        <f>VLOOKUP(D363,Anbar!$A$2:$B$5,2,FALSE)</f>
        <v>15</v>
      </c>
      <c r="M363">
        <f>VLOOKUP(D363,Anbar!$A$2:$C$5,3,FALSE)</f>
        <v>45</v>
      </c>
      <c r="N363">
        <f t="shared" si="10"/>
        <v>180</v>
      </c>
      <c r="O363">
        <f t="shared" si="11"/>
        <v>120</v>
      </c>
      <c r="P363" t="str">
        <f>IF(AND(F363="Nağd",G363&gt;5),M363*0.9,"0%")</f>
        <v>0%</v>
      </c>
      <c r="Q363" s="9" t="str">
        <f>IF(F363="Kredit",EOMONTH(B363,0),"")</f>
        <v/>
      </c>
      <c r="R363" s="17" t="str">
        <f>TEXT(B363,"dddd")</f>
        <v>Tuesday</v>
      </c>
    </row>
    <row r="364" spans="1:18">
      <c r="A364" s="5" t="s">
        <v>371</v>
      </c>
      <c r="B364" s="8">
        <v>46058</v>
      </c>
      <c r="C364" s="5" t="s">
        <v>977</v>
      </c>
      <c r="D364" s="5" t="s">
        <v>968</v>
      </c>
      <c r="E364" s="5" t="s">
        <v>981</v>
      </c>
      <c r="F364" s="5" t="s">
        <v>4</v>
      </c>
      <c r="G364" s="5">
        <v>8</v>
      </c>
      <c r="H364" s="5" t="s">
        <v>963</v>
      </c>
      <c r="I364" s="13">
        <v>770202895</v>
      </c>
      <c r="J364" s="10" t="s">
        <v>1347</v>
      </c>
      <c r="K364" t="str">
        <f>LEFT(C364,FIND(" ",C364)-1)&amp;"-"&amp;E364&amp;" "&amp;"Filialina çardırılma"</f>
        <v>Elnur-Gəncə Filialina çardırılma</v>
      </c>
      <c r="L364">
        <f>VLOOKUP(D364,Anbar!$A$2:$B$5,2,FALSE)</f>
        <v>400</v>
      </c>
      <c r="M364">
        <f>VLOOKUP(D364,Anbar!$A$2:$C$5,3,FALSE)</f>
        <v>650</v>
      </c>
      <c r="N364">
        <f t="shared" si="10"/>
        <v>5200</v>
      </c>
      <c r="O364">
        <f t="shared" si="11"/>
        <v>2000</v>
      </c>
      <c r="P364" t="str">
        <f>IF(AND(F364="Nağd",G364&gt;5),M364*0.9,"0%")</f>
        <v>0%</v>
      </c>
      <c r="Q364" s="9">
        <f>IF(F364="Kredit",EOMONTH(B364,0),"")</f>
        <v>46081</v>
      </c>
      <c r="R364" s="17" t="str">
        <f>TEXT(B364,"dddd")</f>
        <v>Thursday</v>
      </c>
    </row>
    <row r="365" spans="1:18">
      <c r="A365" s="5" t="s">
        <v>372</v>
      </c>
      <c r="B365" s="8">
        <v>46164</v>
      </c>
      <c r="C365" s="5" t="s">
        <v>978</v>
      </c>
      <c r="D365" s="5" t="s">
        <v>15</v>
      </c>
      <c r="E365" s="5" t="s">
        <v>982</v>
      </c>
      <c r="F365" s="5" t="s">
        <v>4</v>
      </c>
      <c r="G365" s="5">
        <v>5</v>
      </c>
      <c r="H365" s="5" t="s">
        <v>963</v>
      </c>
      <c r="I365" s="13">
        <v>511017230</v>
      </c>
      <c r="J365" s="10" t="s">
        <v>1348</v>
      </c>
      <c r="K365" t="str">
        <f>LEFT(C365,FIND(" ",C365)-1)&amp;"-"&amp;E365&amp;" "&amp;"Filialina çardırılma"</f>
        <v>Əli-Baki Filialina çardırılma</v>
      </c>
      <c r="L365">
        <f>VLOOKUP(D365,Anbar!$A$2:$B$5,2,FALSE)</f>
        <v>600</v>
      </c>
      <c r="M365">
        <f>VLOOKUP(D365,Anbar!$A$2:$C$5,3,FALSE)</f>
        <v>950</v>
      </c>
      <c r="N365">
        <f t="shared" si="10"/>
        <v>4750</v>
      </c>
      <c r="O365">
        <f t="shared" si="11"/>
        <v>1750</v>
      </c>
      <c r="P365" t="str">
        <f>IF(AND(F365="Nağd",G365&gt;5),M365*0.9,"0%")</f>
        <v>0%</v>
      </c>
      <c r="Q365" s="9">
        <f>IF(F365="Kredit",EOMONTH(B365,0),"")</f>
        <v>46173</v>
      </c>
      <c r="R365" s="17" t="str">
        <f>TEXT(B365,"dddd")</f>
        <v>Friday</v>
      </c>
    </row>
    <row r="366" spans="1:18">
      <c r="A366" s="5" t="s">
        <v>373</v>
      </c>
      <c r="B366" s="8">
        <v>46095</v>
      </c>
      <c r="C366" s="5" t="s">
        <v>967</v>
      </c>
      <c r="D366" s="5" t="s">
        <v>20</v>
      </c>
      <c r="E366" s="5" t="s">
        <v>980</v>
      </c>
      <c r="F366" s="5" t="s">
        <v>965</v>
      </c>
      <c r="G366" s="5">
        <v>7</v>
      </c>
      <c r="H366" s="5" t="s">
        <v>963</v>
      </c>
      <c r="I366" s="13">
        <v>707313103</v>
      </c>
      <c r="J366" s="10" t="s">
        <v>1349</v>
      </c>
      <c r="K366" t="str">
        <f>LEFT(C366,FIND(" ",C366)-1)&amp;"-"&amp;E366&amp;" "&amp;"Filialina çardırılma"</f>
        <v>Aysel-Sumqayit Filialina çardırılma</v>
      </c>
      <c r="L366">
        <f>VLOOKUP(D366,Anbar!$A$2:$B$5,2,FALSE)</f>
        <v>15</v>
      </c>
      <c r="M366">
        <f>VLOOKUP(D366,Anbar!$A$2:$C$5,3,FALSE)</f>
        <v>45</v>
      </c>
      <c r="N366">
        <f t="shared" si="10"/>
        <v>315</v>
      </c>
      <c r="O366">
        <f t="shared" si="11"/>
        <v>210</v>
      </c>
      <c r="P366">
        <f>IF(AND(F366="Nağd",G366&gt;5),M366*0.9,"0%")</f>
        <v>40.5</v>
      </c>
      <c r="Q366" s="9" t="str">
        <f>IF(F366="Kredit",EOMONTH(B366,0),"")</f>
        <v/>
      </c>
      <c r="R366" s="17" t="str">
        <f>TEXT(B366,"dddd")</f>
        <v>Saturday</v>
      </c>
    </row>
    <row r="367" spans="1:18">
      <c r="A367" s="5" t="s">
        <v>374</v>
      </c>
      <c r="B367" s="8">
        <v>46162</v>
      </c>
      <c r="C367" s="5" t="s">
        <v>6</v>
      </c>
      <c r="D367" s="5" t="s">
        <v>20</v>
      </c>
      <c r="E367" s="5" t="s">
        <v>982</v>
      </c>
      <c r="F367" s="5" t="s">
        <v>4</v>
      </c>
      <c r="G367" s="5">
        <v>3</v>
      </c>
      <c r="H367" s="5" t="s">
        <v>963</v>
      </c>
      <c r="I367" s="13">
        <v>701715730</v>
      </c>
      <c r="J367" s="10" t="s">
        <v>1350</v>
      </c>
      <c r="K367" t="str">
        <f>LEFT(C367,FIND(" ",C367)-1)&amp;"-"&amp;E367&amp;" "&amp;"Filialina çardırılma"</f>
        <v>Zaur-Baki Filialina çardırılma</v>
      </c>
      <c r="L367">
        <f>VLOOKUP(D367,Anbar!$A$2:$B$5,2,FALSE)</f>
        <v>15</v>
      </c>
      <c r="M367">
        <f>VLOOKUP(D367,Anbar!$A$2:$C$5,3,FALSE)</f>
        <v>45</v>
      </c>
      <c r="N367">
        <f t="shared" si="10"/>
        <v>135</v>
      </c>
      <c r="O367">
        <f t="shared" si="11"/>
        <v>90</v>
      </c>
      <c r="P367" t="str">
        <f>IF(AND(F367="Nağd",G367&gt;5),M367*0.9,"0%")</f>
        <v>0%</v>
      </c>
      <c r="Q367" s="9">
        <f>IF(F367="Kredit",EOMONTH(B367,0),"")</f>
        <v>46173</v>
      </c>
      <c r="R367" s="17" t="str">
        <f>TEXT(B367,"dddd")</f>
        <v>Wednesday</v>
      </c>
    </row>
    <row r="368" spans="1:18">
      <c r="A368" s="5" t="s">
        <v>375</v>
      </c>
      <c r="B368" s="8">
        <v>46125</v>
      </c>
      <c r="C368" s="5" t="s">
        <v>976</v>
      </c>
      <c r="D368" s="5" t="s">
        <v>20</v>
      </c>
      <c r="E368" s="5" t="s">
        <v>9</v>
      </c>
      <c r="F368" s="5" t="s">
        <v>4</v>
      </c>
      <c r="G368" s="5">
        <v>9</v>
      </c>
      <c r="H368" s="5" t="s">
        <v>963</v>
      </c>
      <c r="I368" s="13">
        <v>706414555</v>
      </c>
      <c r="J368" s="10" t="s">
        <v>1351</v>
      </c>
      <c r="K368" t="str">
        <f>LEFT(C368,FIND(" ",C368)-1)&amp;"-"&amp;E368&amp;" "&amp;"Filialina çardırılma"</f>
        <v>Nərgin-Gence Filialina çardırılma</v>
      </c>
      <c r="L368">
        <f>VLOOKUP(D368,Anbar!$A$2:$B$5,2,FALSE)</f>
        <v>15</v>
      </c>
      <c r="M368">
        <f>VLOOKUP(D368,Anbar!$A$2:$C$5,3,FALSE)</f>
        <v>45</v>
      </c>
      <c r="N368">
        <f t="shared" si="10"/>
        <v>405</v>
      </c>
      <c r="O368">
        <f t="shared" si="11"/>
        <v>270</v>
      </c>
      <c r="P368" t="str">
        <f>IF(AND(F368="Nağd",G368&gt;5),M368*0.9,"0%")</f>
        <v>0%</v>
      </c>
      <c r="Q368" s="9">
        <f>IF(F368="Kredit",EOMONTH(B368,0),"")</f>
        <v>46142</v>
      </c>
      <c r="R368" s="17" t="str">
        <f>TEXT(B368,"dddd")</f>
        <v>Monday</v>
      </c>
    </row>
    <row r="369" spans="1:18">
      <c r="A369" s="5" t="s">
        <v>376</v>
      </c>
      <c r="B369" s="8">
        <v>46175</v>
      </c>
      <c r="C369" s="5" t="s">
        <v>967</v>
      </c>
      <c r="D369" s="5" t="s">
        <v>15</v>
      </c>
      <c r="E369" s="5" t="s">
        <v>9</v>
      </c>
      <c r="F369" s="5" t="s">
        <v>4</v>
      </c>
      <c r="G369" s="5">
        <v>10</v>
      </c>
      <c r="H369" s="5" t="s">
        <v>963</v>
      </c>
      <c r="I369" s="13">
        <v>550953605</v>
      </c>
      <c r="J369" s="10" t="s">
        <v>1352</v>
      </c>
      <c r="K369" t="str">
        <f>LEFT(C369,FIND(" ",C369)-1)&amp;"-"&amp;E369&amp;" "&amp;"Filialina çardırılma"</f>
        <v>Aysel-Gence Filialina çardırılma</v>
      </c>
      <c r="L369">
        <f>VLOOKUP(D369,Anbar!$A$2:$B$5,2,FALSE)</f>
        <v>600</v>
      </c>
      <c r="M369">
        <f>VLOOKUP(D369,Anbar!$A$2:$C$5,3,FALSE)</f>
        <v>950</v>
      </c>
      <c r="N369">
        <f t="shared" si="10"/>
        <v>9500</v>
      </c>
      <c r="O369">
        <f t="shared" si="11"/>
        <v>3500</v>
      </c>
      <c r="P369" t="str">
        <f>IF(AND(F369="Nağd",G369&gt;5),M369*0.9,"0%")</f>
        <v>0%</v>
      </c>
      <c r="Q369" s="9">
        <f>IF(F369="Kredit",EOMONTH(B369,0),"")</f>
        <v>46203</v>
      </c>
      <c r="R369" s="17" t="str">
        <f>TEXT(B369,"dddd")</f>
        <v>Tuesday</v>
      </c>
    </row>
    <row r="370" spans="1:18">
      <c r="A370" s="5" t="s">
        <v>377</v>
      </c>
      <c r="B370" s="8">
        <v>46069</v>
      </c>
      <c r="C370" s="5" t="s">
        <v>6</v>
      </c>
      <c r="D370" s="5" t="s">
        <v>15</v>
      </c>
      <c r="E370" s="5" t="s">
        <v>966</v>
      </c>
      <c r="F370" s="5" t="s">
        <v>4</v>
      </c>
      <c r="G370" s="5">
        <v>6</v>
      </c>
      <c r="H370" s="5" t="s">
        <v>963</v>
      </c>
      <c r="I370" s="13">
        <v>707273785</v>
      </c>
      <c r="J370" s="10" t="s">
        <v>1353</v>
      </c>
      <c r="K370" t="str">
        <f>LEFT(C370,FIND(" ",C370)-1)&amp;"-"&amp;E370&amp;" "&amp;"Filialina çardırılma"</f>
        <v>Zaur-Bakı Filialina çardırılma</v>
      </c>
      <c r="L370">
        <f>VLOOKUP(D370,Anbar!$A$2:$B$5,2,FALSE)</f>
        <v>600</v>
      </c>
      <c r="M370">
        <f>VLOOKUP(D370,Anbar!$A$2:$C$5,3,FALSE)</f>
        <v>950</v>
      </c>
      <c r="N370">
        <f t="shared" si="10"/>
        <v>5700</v>
      </c>
      <c r="O370">
        <f t="shared" si="11"/>
        <v>2100</v>
      </c>
      <c r="P370" t="str">
        <f>IF(AND(F370="Nağd",G370&gt;5),M370*0.9,"0%")</f>
        <v>0%</v>
      </c>
      <c r="Q370" s="9">
        <f>IF(F370="Kredit",EOMONTH(B370,0),"")</f>
        <v>46081</v>
      </c>
      <c r="R370" s="17" t="str">
        <f>TEXT(B370,"dddd")</f>
        <v>Monday</v>
      </c>
    </row>
    <row r="371" spans="1:18">
      <c r="A371" s="5" t="s">
        <v>378</v>
      </c>
      <c r="B371" s="8">
        <v>46109</v>
      </c>
      <c r="C371" s="5" t="s">
        <v>977</v>
      </c>
      <c r="D371" s="5" t="s">
        <v>971</v>
      </c>
      <c r="E371" s="5" t="s">
        <v>964</v>
      </c>
      <c r="F371" s="5" t="s">
        <v>7</v>
      </c>
      <c r="G371" s="5">
        <v>8</v>
      </c>
      <c r="H371" s="5" t="s">
        <v>963</v>
      </c>
      <c r="I371" s="13">
        <v>501716566</v>
      </c>
      <c r="J371" s="10" t="s">
        <v>1354</v>
      </c>
      <c r="K371" t="str">
        <f>LEFT(C371,FIND(" ",C371)-1)&amp;"-"&amp;E371&amp;" "&amp;"Filialina çardırılma"</f>
        <v>Elnur-Sumqayıt Filialina çardırılma</v>
      </c>
      <c r="L371">
        <f>VLOOKUP(D371,Anbar!$A$2:$B$5,2,FALSE)</f>
        <v>1200</v>
      </c>
      <c r="M371">
        <f>VLOOKUP(D371,Anbar!$A$2:$C$5,3,FALSE)</f>
        <v>1800</v>
      </c>
      <c r="N371">
        <f t="shared" si="10"/>
        <v>14400</v>
      </c>
      <c r="O371">
        <f t="shared" si="11"/>
        <v>4800</v>
      </c>
      <c r="P371" t="str">
        <f>IF(AND(F371="Nağd",G371&gt;5),M371*0.9,"0%")</f>
        <v>0%</v>
      </c>
      <c r="Q371" s="9" t="str">
        <f>IF(F371="Kredit",EOMONTH(B371,0),"")</f>
        <v/>
      </c>
      <c r="R371" s="17" t="str">
        <f>TEXT(B371,"dddd")</f>
        <v>Saturday</v>
      </c>
    </row>
    <row r="372" spans="1:18">
      <c r="A372" s="5" t="s">
        <v>379</v>
      </c>
      <c r="B372" s="8">
        <v>46140</v>
      </c>
      <c r="C372" s="5" t="s">
        <v>979</v>
      </c>
      <c r="D372" s="5" t="s">
        <v>971</v>
      </c>
      <c r="E372" s="5" t="s">
        <v>966</v>
      </c>
      <c r="F372" s="5" t="s">
        <v>965</v>
      </c>
      <c r="G372" s="5">
        <v>2</v>
      </c>
      <c r="H372" s="5" t="s">
        <v>963</v>
      </c>
      <c r="I372" s="13">
        <v>707872346</v>
      </c>
      <c r="J372" s="10" t="s">
        <v>1355</v>
      </c>
      <c r="K372" t="str">
        <f>LEFT(C372,FIND(" ",C372)-1)&amp;"-"&amp;E372&amp;" "&amp;"Filialina çardırılma"</f>
        <v>Leyla-Bakı Filialina çardırılma</v>
      </c>
      <c r="L372">
        <f>VLOOKUP(D372,Anbar!$A$2:$B$5,2,FALSE)</f>
        <v>1200</v>
      </c>
      <c r="M372">
        <f>VLOOKUP(D372,Anbar!$A$2:$C$5,3,FALSE)</f>
        <v>1800</v>
      </c>
      <c r="N372">
        <f t="shared" si="10"/>
        <v>3600</v>
      </c>
      <c r="O372">
        <f t="shared" si="11"/>
        <v>1200</v>
      </c>
      <c r="P372" t="str">
        <f>IF(AND(F372="Nağd",G372&gt;5),M372*0.9,"0%")</f>
        <v>0%</v>
      </c>
      <c r="Q372" s="9" t="str">
        <f>IF(F372="Kredit",EOMONTH(B372,0),"")</f>
        <v/>
      </c>
      <c r="R372" s="17" t="str">
        <f>TEXT(B372,"dddd")</f>
        <v>Tuesday</v>
      </c>
    </row>
    <row r="373" spans="1:18">
      <c r="A373" s="5" t="s">
        <v>380</v>
      </c>
      <c r="B373" s="8">
        <v>46177</v>
      </c>
      <c r="C373" s="5" t="s">
        <v>976</v>
      </c>
      <c r="D373" s="5" t="s">
        <v>968</v>
      </c>
      <c r="E373" s="5" t="s">
        <v>9</v>
      </c>
      <c r="F373" s="5" t="s">
        <v>4</v>
      </c>
      <c r="G373" s="5">
        <v>8</v>
      </c>
      <c r="H373" s="5" t="s">
        <v>963</v>
      </c>
      <c r="I373" s="13">
        <v>515086624</v>
      </c>
      <c r="J373" s="10" t="s">
        <v>1356</v>
      </c>
      <c r="K373" t="str">
        <f>LEFT(C373,FIND(" ",C373)-1)&amp;"-"&amp;E373&amp;" "&amp;"Filialina çardırılma"</f>
        <v>Nərgin-Gence Filialina çardırılma</v>
      </c>
      <c r="L373">
        <f>VLOOKUP(D373,Anbar!$A$2:$B$5,2,FALSE)</f>
        <v>400</v>
      </c>
      <c r="M373">
        <f>VLOOKUP(D373,Anbar!$A$2:$C$5,3,FALSE)</f>
        <v>650</v>
      </c>
      <c r="N373">
        <f t="shared" si="10"/>
        <v>5200</v>
      </c>
      <c r="O373">
        <f t="shared" si="11"/>
        <v>2000</v>
      </c>
      <c r="P373" t="str">
        <f>IF(AND(F373="Nağd",G373&gt;5),M373*0.9,"0%")</f>
        <v>0%</v>
      </c>
      <c r="Q373" s="9">
        <f>IF(F373="Kredit",EOMONTH(B373,0),"")</f>
        <v>46203</v>
      </c>
      <c r="R373" s="17" t="str">
        <f>TEXT(B373,"dddd")</f>
        <v>Thursday</v>
      </c>
    </row>
    <row r="374" spans="1:18">
      <c r="A374" s="5" t="s">
        <v>381</v>
      </c>
      <c r="B374" s="8">
        <v>46110</v>
      </c>
      <c r="C374" s="5" t="s">
        <v>978</v>
      </c>
      <c r="D374" s="5" t="s">
        <v>15</v>
      </c>
      <c r="E374" s="5" t="s">
        <v>980</v>
      </c>
      <c r="F374" s="5" t="s">
        <v>4</v>
      </c>
      <c r="G374" s="5">
        <v>7</v>
      </c>
      <c r="H374" s="5" t="s">
        <v>963</v>
      </c>
      <c r="I374" s="13">
        <v>504464011</v>
      </c>
      <c r="J374" s="10" t="s">
        <v>1357</v>
      </c>
      <c r="K374" t="str">
        <f>LEFT(C374,FIND(" ",C374)-1)&amp;"-"&amp;E374&amp;" "&amp;"Filialina çardırılma"</f>
        <v>Əli-Sumqayit Filialina çardırılma</v>
      </c>
      <c r="L374">
        <f>VLOOKUP(D374,Anbar!$A$2:$B$5,2,FALSE)</f>
        <v>600</v>
      </c>
      <c r="M374">
        <f>VLOOKUP(D374,Anbar!$A$2:$C$5,3,FALSE)</f>
        <v>950</v>
      </c>
      <c r="N374">
        <f t="shared" si="10"/>
        <v>6650</v>
      </c>
      <c r="O374">
        <f t="shared" si="11"/>
        <v>2450</v>
      </c>
      <c r="P374" t="str">
        <f>IF(AND(F374="Nağd",G374&gt;5),M374*0.9,"0%")</f>
        <v>0%</v>
      </c>
      <c r="Q374" s="9">
        <f>IF(F374="Kredit",EOMONTH(B374,0),"")</f>
        <v>46112</v>
      </c>
      <c r="R374" s="17" t="str">
        <f>TEXT(B374,"dddd")</f>
        <v>Sunday</v>
      </c>
    </row>
    <row r="375" spans="1:18">
      <c r="A375" s="5" t="s">
        <v>382</v>
      </c>
      <c r="B375" s="8">
        <v>46073</v>
      </c>
      <c r="C375" s="5" t="s">
        <v>967</v>
      </c>
      <c r="D375" s="5" t="s">
        <v>15</v>
      </c>
      <c r="E375" s="5" t="s">
        <v>980</v>
      </c>
      <c r="F375" s="5" t="s">
        <v>965</v>
      </c>
      <c r="G375" s="5">
        <v>9</v>
      </c>
      <c r="H375" s="5" t="s">
        <v>963</v>
      </c>
      <c r="I375" s="13">
        <v>503152229</v>
      </c>
      <c r="J375" s="10" t="s">
        <v>1358</v>
      </c>
      <c r="K375" t="str">
        <f>LEFT(C375,FIND(" ",C375)-1)&amp;"-"&amp;E375&amp;" "&amp;"Filialina çardırılma"</f>
        <v>Aysel-Sumqayit Filialina çardırılma</v>
      </c>
      <c r="L375">
        <f>VLOOKUP(D375,Anbar!$A$2:$B$5,2,FALSE)</f>
        <v>600</v>
      </c>
      <c r="M375">
        <f>VLOOKUP(D375,Anbar!$A$2:$C$5,3,FALSE)</f>
        <v>950</v>
      </c>
      <c r="N375">
        <f t="shared" si="10"/>
        <v>8550</v>
      </c>
      <c r="O375">
        <f t="shared" si="11"/>
        <v>3150</v>
      </c>
      <c r="P375">
        <f>IF(AND(F375="Nağd",G375&gt;5),M375*0.9,"0%")</f>
        <v>855</v>
      </c>
      <c r="Q375" s="9" t="str">
        <f>IF(F375="Kredit",EOMONTH(B375,0),"")</f>
        <v/>
      </c>
      <c r="R375" s="17" t="str">
        <f>TEXT(B375,"dddd")</f>
        <v>Friday</v>
      </c>
    </row>
    <row r="376" spans="1:18">
      <c r="A376" s="5" t="s">
        <v>383</v>
      </c>
      <c r="B376" s="8">
        <v>46047</v>
      </c>
      <c r="C376" s="5" t="s">
        <v>974</v>
      </c>
      <c r="D376" s="5" t="s">
        <v>971</v>
      </c>
      <c r="E376" s="5" t="s">
        <v>980</v>
      </c>
      <c r="F376" s="5" t="s">
        <v>965</v>
      </c>
      <c r="G376" s="5">
        <v>9</v>
      </c>
      <c r="H376" s="5" t="s">
        <v>963</v>
      </c>
      <c r="I376" s="13">
        <v>510618410</v>
      </c>
      <c r="J376" s="10" t="s">
        <v>1359</v>
      </c>
      <c r="K376" t="str">
        <f>LEFT(C376,FIND(" ",C376)-1)&amp;"-"&amp;E376&amp;" "&amp;"Filialina çardırılma"</f>
        <v>Ramil-Sumqayit Filialina çardırılma</v>
      </c>
      <c r="L376">
        <f>VLOOKUP(D376,Anbar!$A$2:$B$5,2,FALSE)</f>
        <v>1200</v>
      </c>
      <c r="M376">
        <f>VLOOKUP(D376,Anbar!$A$2:$C$5,3,FALSE)</f>
        <v>1800</v>
      </c>
      <c r="N376">
        <f t="shared" si="10"/>
        <v>16200</v>
      </c>
      <c r="O376">
        <f t="shared" si="11"/>
        <v>5400</v>
      </c>
      <c r="P376">
        <f>IF(AND(F376="Nağd",G376&gt;5),M376*0.9,"0%")</f>
        <v>1620</v>
      </c>
      <c r="Q376" s="9" t="str">
        <f>IF(F376="Kredit",EOMONTH(B376,0),"")</f>
        <v/>
      </c>
      <c r="R376" s="17" t="str">
        <f>TEXT(B376,"dddd")</f>
        <v>Sunday</v>
      </c>
    </row>
    <row r="377" spans="1:18">
      <c r="A377" s="5" t="s">
        <v>384</v>
      </c>
      <c r="B377" s="8">
        <v>46063</v>
      </c>
      <c r="C377" s="5" t="s">
        <v>977</v>
      </c>
      <c r="D377" s="5" t="s">
        <v>971</v>
      </c>
      <c r="E377" s="5" t="s">
        <v>981</v>
      </c>
      <c r="F377" s="5" t="s">
        <v>4</v>
      </c>
      <c r="G377" s="5">
        <v>3</v>
      </c>
      <c r="H377" s="5" t="s">
        <v>963</v>
      </c>
      <c r="I377" s="13">
        <v>774454717</v>
      </c>
      <c r="J377" s="10" t="s">
        <v>1360</v>
      </c>
      <c r="K377" t="str">
        <f>LEFT(C377,FIND(" ",C377)-1)&amp;"-"&amp;E377&amp;" "&amp;"Filialina çardırılma"</f>
        <v>Elnur-Gəncə Filialina çardırılma</v>
      </c>
      <c r="L377">
        <f>VLOOKUP(D377,Anbar!$A$2:$B$5,2,FALSE)</f>
        <v>1200</v>
      </c>
      <c r="M377">
        <f>VLOOKUP(D377,Anbar!$A$2:$C$5,3,FALSE)</f>
        <v>1800</v>
      </c>
      <c r="N377">
        <f t="shared" si="10"/>
        <v>5400</v>
      </c>
      <c r="O377">
        <f t="shared" si="11"/>
        <v>1800</v>
      </c>
      <c r="P377" t="str">
        <f>IF(AND(F377="Nağd",G377&gt;5),M377*0.9,"0%")</f>
        <v>0%</v>
      </c>
      <c r="Q377" s="9">
        <f>IF(F377="Kredit",EOMONTH(B377,0),"")</f>
        <v>46081</v>
      </c>
      <c r="R377" s="17" t="str">
        <f>TEXT(B377,"dddd")</f>
        <v>Tuesday</v>
      </c>
    </row>
    <row r="378" spans="1:18">
      <c r="A378" s="5" t="s">
        <v>385</v>
      </c>
      <c r="B378" s="8">
        <v>46105</v>
      </c>
      <c r="C378" s="5" t="s">
        <v>974</v>
      </c>
      <c r="D378" s="5" t="s">
        <v>971</v>
      </c>
      <c r="E378" s="5" t="s">
        <v>982</v>
      </c>
      <c r="F378" s="5" t="s">
        <v>4</v>
      </c>
      <c r="G378" s="5">
        <v>3</v>
      </c>
      <c r="H378" s="5" t="s">
        <v>963</v>
      </c>
      <c r="I378" s="13">
        <v>702359989</v>
      </c>
      <c r="J378" s="10" t="s">
        <v>1361</v>
      </c>
      <c r="K378" t="str">
        <f>LEFT(C378,FIND(" ",C378)-1)&amp;"-"&amp;E378&amp;" "&amp;"Filialina çardırılma"</f>
        <v>Ramil-Baki Filialina çardırılma</v>
      </c>
      <c r="L378">
        <f>VLOOKUP(D378,Anbar!$A$2:$B$5,2,FALSE)</f>
        <v>1200</v>
      </c>
      <c r="M378">
        <f>VLOOKUP(D378,Anbar!$A$2:$C$5,3,FALSE)</f>
        <v>1800</v>
      </c>
      <c r="N378">
        <f t="shared" si="10"/>
        <v>5400</v>
      </c>
      <c r="O378">
        <f t="shared" si="11"/>
        <v>1800</v>
      </c>
      <c r="P378" t="str">
        <f>IF(AND(F378="Nağd",G378&gt;5),M378*0.9,"0%")</f>
        <v>0%</v>
      </c>
      <c r="Q378" s="9">
        <f>IF(F378="Kredit",EOMONTH(B378,0),"")</f>
        <v>46112</v>
      </c>
      <c r="R378" s="17" t="str">
        <f>TEXT(B378,"dddd")</f>
        <v>Tuesday</v>
      </c>
    </row>
    <row r="379" spans="1:18">
      <c r="A379" s="5" t="s">
        <v>386</v>
      </c>
      <c r="B379" s="8">
        <v>46087</v>
      </c>
      <c r="C379" s="5" t="s">
        <v>976</v>
      </c>
      <c r="D379" s="5" t="s">
        <v>15</v>
      </c>
      <c r="E379" s="5" t="s">
        <v>982</v>
      </c>
      <c r="F379" s="5" t="s">
        <v>965</v>
      </c>
      <c r="G379" s="5">
        <v>8</v>
      </c>
      <c r="H379" s="5" t="s">
        <v>963</v>
      </c>
      <c r="I379" s="13">
        <v>513364416</v>
      </c>
      <c r="J379" s="10" t="s">
        <v>1362</v>
      </c>
      <c r="K379" t="str">
        <f>LEFT(C379,FIND(" ",C379)-1)&amp;"-"&amp;E379&amp;" "&amp;"Filialina çardırılma"</f>
        <v>Nərgin-Baki Filialina çardırılma</v>
      </c>
      <c r="L379">
        <f>VLOOKUP(D379,Anbar!$A$2:$B$5,2,FALSE)</f>
        <v>600</v>
      </c>
      <c r="M379">
        <f>VLOOKUP(D379,Anbar!$A$2:$C$5,3,FALSE)</f>
        <v>950</v>
      </c>
      <c r="N379">
        <f t="shared" si="10"/>
        <v>7600</v>
      </c>
      <c r="O379">
        <f t="shared" si="11"/>
        <v>2800</v>
      </c>
      <c r="P379">
        <f>IF(AND(F379="Nağd",G379&gt;5),M379*0.9,"0%")</f>
        <v>855</v>
      </c>
      <c r="Q379" s="9" t="str">
        <f>IF(F379="Kredit",EOMONTH(B379,0),"")</f>
        <v/>
      </c>
      <c r="R379" s="17" t="str">
        <f>TEXT(B379,"dddd")</f>
        <v>Friday</v>
      </c>
    </row>
    <row r="380" spans="1:18">
      <c r="A380" s="5" t="s">
        <v>387</v>
      </c>
      <c r="B380" s="8">
        <v>46141</v>
      </c>
      <c r="C380" s="5" t="s">
        <v>6</v>
      </c>
      <c r="D380" s="5" t="s">
        <v>968</v>
      </c>
      <c r="E380" s="5" t="s">
        <v>980</v>
      </c>
      <c r="F380" s="5" t="s">
        <v>4</v>
      </c>
      <c r="G380" s="5">
        <v>5</v>
      </c>
      <c r="H380" s="5" t="s">
        <v>963</v>
      </c>
      <c r="I380" s="13">
        <v>506615330</v>
      </c>
      <c r="J380" s="10" t="s">
        <v>1363</v>
      </c>
      <c r="K380" t="str">
        <f>LEFT(C380,FIND(" ",C380)-1)&amp;"-"&amp;E380&amp;" "&amp;"Filialina çardırılma"</f>
        <v>Zaur-Sumqayit Filialina çardırılma</v>
      </c>
      <c r="L380">
        <f>VLOOKUP(D380,Anbar!$A$2:$B$5,2,FALSE)</f>
        <v>400</v>
      </c>
      <c r="M380">
        <f>VLOOKUP(D380,Anbar!$A$2:$C$5,3,FALSE)</f>
        <v>650</v>
      </c>
      <c r="N380">
        <f t="shared" si="10"/>
        <v>3250</v>
      </c>
      <c r="O380">
        <f t="shared" si="11"/>
        <v>1250</v>
      </c>
      <c r="P380" t="str">
        <f>IF(AND(F380="Nağd",G380&gt;5),M380*0.9,"0%")</f>
        <v>0%</v>
      </c>
      <c r="Q380" s="9">
        <f>IF(F380="Kredit",EOMONTH(B380,0),"")</f>
        <v>46142</v>
      </c>
      <c r="R380" s="17" t="str">
        <f>TEXT(B380,"dddd")</f>
        <v>Wednesday</v>
      </c>
    </row>
    <row r="381" spans="1:18">
      <c r="A381" s="5" t="s">
        <v>388</v>
      </c>
      <c r="B381" s="8">
        <v>46173</v>
      </c>
      <c r="C381" s="5" t="s">
        <v>976</v>
      </c>
      <c r="D381" s="5" t="s">
        <v>20</v>
      </c>
      <c r="E381" s="5" t="s">
        <v>9</v>
      </c>
      <c r="F381" s="5" t="s">
        <v>965</v>
      </c>
      <c r="G381" s="5">
        <v>8</v>
      </c>
      <c r="H381" s="5" t="s">
        <v>963</v>
      </c>
      <c r="I381" s="13">
        <v>703103301</v>
      </c>
      <c r="J381" s="10" t="s">
        <v>1364</v>
      </c>
      <c r="K381" t="str">
        <f>LEFT(C381,FIND(" ",C381)-1)&amp;"-"&amp;E381&amp;" "&amp;"Filialina çardırılma"</f>
        <v>Nərgin-Gence Filialina çardırılma</v>
      </c>
      <c r="L381">
        <f>VLOOKUP(D381,Anbar!$A$2:$B$5,2,FALSE)</f>
        <v>15</v>
      </c>
      <c r="M381">
        <f>VLOOKUP(D381,Anbar!$A$2:$C$5,3,FALSE)</f>
        <v>45</v>
      </c>
      <c r="N381">
        <f t="shared" si="10"/>
        <v>360</v>
      </c>
      <c r="O381">
        <f t="shared" si="11"/>
        <v>240</v>
      </c>
      <c r="P381">
        <f>IF(AND(F381="Nağd",G381&gt;5),M381*0.9,"0%")</f>
        <v>40.5</v>
      </c>
      <c r="Q381" s="9" t="str">
        <f>IF(F381="Kredit",EOMONTH(B381,0),"")</f>
        <v/>
      </c>
      <c r="R381" s="17" t="str">
        <f>TEXT(B381,"dddd")</f>
        <v>Sunday</v>
      </c>
    </row>
    <row r="382" spans="1:18">
      <c r="A382" s="5" t="s">
        <v>389</v>
      </c>
      <c r="B382" s="8">
        <v>46030</v>
      </c>
      <c r="C382" s="5" t="s">
        <v>6</v>
      </c>
      <c r="D382" s="5" t="s">
        <v>15</v>
      </c>
      <c r="E382" s="5" t="s">
        <v>981</v>
      </c>
      <c r="F382" s="5" t="s">
        <v>4</v>
      </c>
      <c r="G382" s="5">
        <v>4</v>
      </c>
      <c r="H382" s="5" t="s">
        <v>963</v>
      </c>
      <c r="I382" s="13">
        <v>515075787</v>
      </c>
      <c r="J382" s="10" t="s">
        <v>1365</v>
      </c>
      <c r="K382" t="str">
        <f>LEFT(C382,FIND(" ",C382)-1)&amp;"-"&amp;E382&amp;" "&amp;"Filialina çardırılma"</f>
        <v>Zaur-Gəncə Filialina çardırılma</v>
      </c>
      <c r="L382">
        <f>VLOOKUP(D382,Anbar!$A$2:$B$5,2,FALSE)</f>
        <v>600</v>
      </c>
      <c r="M382">
        <f>VLOOKUP(D382,Anbar!$A$2:$C$5,3,FALSE)</f>
        <v>950</v>
      </c>
      <c r="N382">
        <f t="shared" si="10"/>
        <v>3800</v>
      </c>
      <c r="O382">
        <f t="shared" si="11"/>
        <v>1400</v>
      </c>
      <c r="P382" t="str">
        <f>IF(AND(F382="Nağd",G382&gt;5),M382*0.9,"0%")</f>
        <v>0%</v>
      </c>
      <c r="Q382" s="9">
        <f>IF(F382="Kredit",EOMONTH(B382,0),"")</f>
        <v>46053</v>
      </c>
      <c r="R382" s="17" t="str">
        <f>TEXT(B382,"dddd")</f>
        <v>Thursday</v>
      </c>
    </row>
    <row r="383" spans="1:18">
      <c r="A383" s="5" t="s">
        <v>390</v>
      </c>
      <c r="B383" s="8">
        <v>46068</v>
      </c>
      <c r="C383" s="5" t="s">
        <v>974</v>
      </c>
      <c r="D383" s="5" t="s">
        <v>971</v>
      </c>
      <c r="E383" s="5" t="s">
        <v>964</v>
      </c>
      <c r="F383" s="5" t="s">
        <v>965</v>
      </c>
      <c r="G383" s="5">
        <v>3</v>
      </c>
      <c r="H383" s="5" t="s">
        <v>963</v>
      </c>
      <c r="I383" s="13">
        <v>504219222</v>
      </c>
      <c r="J383" s="10" t="s">
        <v>1366</v>
      </c>
      <c r="K383" t="str">
        <f>LEFT(C383,FIND(" ",C383)-1)&amp;"-"&amp;E383&amp;" "&amp;"Filialina çardırılma"</f>
        <v>Ramil-Sumqayıt Filialina çardırılma</v>
      </c>
      <c r="L383">
        <f>VLOOKUP(D383,Anbar!$A$2:$B$5,2,FALSE)</f>
        <v>1200</v>
      </c>
      <c r="M383">
        <f>VLOOKUP(D383,Anbar!$A$2:$C$5,3,FALSE)</f>
        <v>1800</v>
      </c>
      <c r="N383">
        <f t="shared" si="10"/>
        <v>5400</v>
      </c>
      <c r="O383">
        <f t="shared" si="11"/>
        <v>1800</v>
      </c>
      <c r="P383" t="str">
        <f>IF(AND(F383="Nağd",G383&gt;5),M383*0.9,"0%")</f>
        <v>0%</v>
      </c>
      <c r="Q383" s="9" t="str">
        <f>IF(F383="Kredit",EOMONTH(B383,0),"")</f>
        <v/>
      </c>
      <c r="R383" s="17" t="str">
        <f>TEXT(B383,"dddd")</f>
        <v>Sunday</v>
      </c>
    </row>
    <row r="384" spans="1:18">
      <c r="A384" s="5" t="s">
        <v>391</v>
      </c>
      <c r="B384" s="8">
        <v>46099</v>
      </c>
      <c r="C384" s="5" t="s">
        <v>979</v>
      </c>
      <c r="D384" s="5" t="s">
        <v>20</v>
      </c>
      <c r="E384" s="5" t="s">
        <v>966</v>
      </c>
      <c r="F384" s="5" t="s">
        <v>965</v>
      </c>
      <c r="G384" s="5">
        <v>1</v>
      </c>
      <c r="H384" s="5" t="s">
        <v>963</v>
      </c>
      <c r="I384" s="13">
        <v>772551757</v>
      </c>
      <c r="J384" s="10" t="s">
        <v>1367</v>
      </c>
      <c r="K384" t="str">
        <f>LEFT(C384,FIND(" ",C384)-1)&amp;"-"&amp;E384&amp;" "&amp;"Filialina çardırılma"</f>
        <v>Leyla-Bakı Filialina çardırılma</v>
      </c>
      <c r="L384">
        <f>VLOOKUP(D384,Anbar!$A$2:$B$5,2,FALSE)</f>
        <v>15</v>
      </c>
      <c r="M384">
        <f>VLOOKUP(D384,Anbar!$A$2:$C$5,3,FALSE)</f>
        <v>45</v>
      </c>
      <c r="N384">
        <f t="shared" si="10"/>
        <v>45</v>
      </c>
      <c r="O384">
        <f t="shared" si="11"/>
        <v>30</v>
      </c>
      <c r="P384" t="str">
        <f>IF(AND(F384="Nağd",G384&gt;5),M384*0.9,"0%")</f>
        <v>0%</v>
      </c>
      <c r="Q384" s="9" t="str">
        <f>IF(F384="Kredit",EOMONTH(B384,0),"")</f>
        <v/>
      </c>
      <c r="R384" s="17" t="str">
        <f>TEXT(B384,"dddd")</f>
        <v>Wednesday</v>
      </c>
    </row>
    <row r="385" spans="1:18">
      <c r="A385" s="5" t="s">
        <v>392</v>
      </c>
      <c r="B385" s="8">
        <v>46171</v>
      </c>
      <c r="C385" s="5" t="s">
        <v>974</v>
      </c>
      <c r="D385" s="5" t="s">
        <v>971</v>
      </c>
      <c r="E385" s="5" t="s">
        <v>980</v>
      </c>
      <c r="F385" s="5" t="s">
        <v>965</v>
      </c>
      <c r="G385" s="5">
        <v>1</v>
      </c>
      <c r="H385" s="5" t="s">
        <v>963</v>
      </c>
      <c r="I385" s="13">
        <v>557576175</v>
      </c>
      <c r="J385" s="10" t="s">
        <v>1368</v>
      </c>
      <c r="K385" t="str">
        <f>LEFT(C385,FIND(" ",C385)-1)&amp;"-"&amp;E385&amp;" "&amp;"Filialina çardırılma"</f>
        <v>Ramil-Sumqayit Filialina çardırılma</v>
      </c>
      <c r="L385">
        <f>VLOOKUP(D385,Anbar!$A$2:$B$5,2,FALSE)</f>
        <v>1200</v>
      </c>
      <c r="M385">
        <f>VLOOKUP(D385,Anbar!$A$2:$C$5,3,FALSE)</f>
        <v>1800</v>
      </c>
      <c r="N385">
        <f t="shared" si="10"/>
        <v>1800</v>
      </c>
      <c r="O385">
        <f t="shared" si="11"/>
        <v>600</v>
      </c>
      <c r="P385" t="str">
        <f>IF(AND(F385="Nağd",G385&gt;5),M385*0.9,"0%")</f>
        <v>0%</v>
      </c>
      <c r="Q385" s="9" t="str">
        <f>IF(F385="Kredit",EOMONTH(B385,0),"")</f>
        <v/>
      </c>
      <c r="R385" s="17" t="str">
        <f>TEXT(B385,"dddd")</f>
        <v>Friday</v>
      </c>
    </row>
    <row r="386" spans="1:18">
      <c r="A386" s="5" t="s">
        <v>393</v>
      </c>
      <c r="B386" s="8">
        <v>46177</v>
      </c>
      <c r="C386" s="5" t="s">
        <v>975</v>
      </c>
      <c r="D386" s="5" t="s">
        <v>968</v>
      </c>
      <c r="E386" s="5" t="s">
        <v>983</v>
      </c>
      <c r="F386" s="5" t="s">
        <v>965</v>
      </c>
      <c r="G386" s="5">
        <v>4</v>
      </c>
      <c r="H386" s="5" t="s">
        <v>963</v>
      </c>
      <c r="I386" s="13">
        <v>775899267</v>
      </c>
      <c r="J386" s="10" t="s">
        <v>1369</v>
      </c>
      <c r="K386" t="str">
        <f>LEFT(C386,FIND(" ",C386)-1)&amp;"-"&amp;E386&amp;" "&amp;"Filialina çardırılma"</f>
        <v>Murad-Naməlum Filialina çardırılma</v>
      </c>
      <c r="L386">
        <f>VLOOKUP(D386,Anbar!$A$2:$B$5,2,FALSE)</f>
        <v>400</v>
      </c>
      <c r="M386">
        <f>VLOOKUP(D386,Anbar!$A$2:$C$5,3,FALSE)</f>
        <v>650</v>
      </c>
      <c r="N386">
        <f t="shared" si="10"/>
        <v>2600</v>
      </c>
      <c r="O386">
        <f t="shared" si="11"/>
        <v>1000</v>
      </c>
      <c r="P386" t="str">
        <f>IF(AND(F386="Nağd",G386&gt;5),M386*0.9,"0%")</f>
        <v>0%</v>
      </c>
      <c r="Q386" s="9" t="str">
        <f>IF(F386="Kredit",EOMONTH(B386,0),"")</f>
        <v/>
      </c>
      <c r="R386" s="17" t="str">
        <f>TEXT(B386,"dddd")</f>
        <v>Thursday</v>
      </c>
    </row>
    <row r="387" spans="1:18">
      <c r="A387" s="5" t="s">
        <v>394</v>
      </c>
      <c r="B387" s="8">
        <v>46043</v>
      </c>
      <c r="C387" s="5" t="s">
        <v>979</v>
      </c>
      <c r="D387" s="5" t="s">
        <v>971</v>
      </c>
      <c r="E387" s="5" t="s">
        <v>982</v>
      </c>
      <c r="F387" s="5" t="s">
        <v>4</v>
      </c>
      <c r="G387" s="5">
        <v>5</v>
      </c>
      <c r="H387" s="5" t="s">
        <v>963</v>
      </c>
      <c r="I387" s="13">
        <v>707918996</v>
      </c>
      <c r="J387" s="10" t="s">
        <v>1370</v>
      </c>
      <c r="K387" t="str">
        <f>LEFT(C387,FIND(" ",C387)-1)&amp;"-"&amp;E387&amp;" "&amp;"Filialina çardırılma"</f>
        <v>Leyla-Baki Filialina çardırılma</v>
      </c>
      <c r="L387">
        <f>VLOOKUP(D387,Anbar!$A$2:$B$5,2,FALSE)</f>
        <v>1200</v>
      </c>
      <c r="M387">
        <f>VLOOKUP(D387,Anbar!$A$2:$C$5,3,FALSE)</f>
        <v>1800</v>
      </c>
      <c r="N387">
        <f t="shared" ref="N387:N450" si="12">G387*M387</f>
        <v>9000</v>
      </c>
      <c r="O387">
        <f t="shared" ref="O387:O450" si="13">(M387-L387)*G387</f>
        <v>3000</v>
      </c>
      <c r="P387" t="str">
        <f>IF(AND(F387="Nağd",G387&gt;5),M387*0.9,"0%")</f>
        <v>0%</v>
      </c>
      <c r="Q387" s="9">
        <f>IF(F387="Kredit",EOMONTH(B387,0),"")</f>
        <v>46053</v>
      </c>
      <c r="R387" s="17" t="str">
        <f>TEXT(B387,"dddd")</f>
        <v>Wednesday</v>
      </c>
    </row>
    <row r="388" spans="1:18">
      <c r="A388" s="5" t="s">
        <v>395</v>
      </c>
      <c r="B388" s="8">
        <v>46100</v>
      </c>
      <c r="C388" s="5" t="s">
        <v>979</v>
      </c>
      <c r="D388" s="5" t="s">
        <v>15</v>
      </c>
      <c r="E388" s="5" t="s">
        <v>966</v>
      </c>
      <c r="F388" s="5" t="s">
        <v>7</v>
      </c>
      <c r="G388" s="5">
        <v>6</v>
      </c>
      <c r="H388" s="5" t="s">
        <v>963</v>
      </c>
      <c r="I388" s="13">
        <v>700669954</v>
      </c>
      <c r="J388" s="10" t="s">
        <v>1371</v>
      </c>
      <c r="K388" t="str">
        <f>LEFT(C388,FIND(" ",C388)-1)&amp;"-"&amp;E388&amp;" "&amp;"Filialina çardırılma"</f>
        <v>Leyla-Bakı Filialina çardırılma</v>
      </c>
      <c r="L388">
        <f>VLOOKUP(D388,Anbar!$A$2:$B$5,2,FALSE)</f>
        <v>600</v>
      </c>
      <c r="M388">
        <f>VLOOKUP(D388,Anbar!$A$2:$C$5,3,FALSE)</f>
        <v>950</v>
      </c>
      <c r="N388">
        <f t="shared" si="12"/>
        <v>5700</v>
      </c>
      <c r="O388">
        <f t="shared" si="13"/>
        <v>2100</v>
      </c>
      <c r="P388" t="str">
        <f>IF(AND(F388="Nağd",G388&gt;5),M388*0.9,"0%")</f>
        <v>0%</v>
      </c>
      <c r="Q388" s="9" t="str">
        <f>IF(F388="Kredit",EOMONTH(B388,0),"")</f>
        <v/>
      </c>
      <c r="R388" s="17" t="str">
        <f>TEXT(B388,"dddd")</f>
        <v>Thursday</v>
      </c>
    </row>
    <row r="389" spans="1:18">
      <c r="A389" s="5" t="s">
        <v>396</v>
      </c>
      <c r="B389" s="8">
        <v>46167</v>
      </c>
      <c r="C389" s="5" t="s">
        <v>978</v>
      </c>
      <c r="D389" s="5" t="s">
        <v>20</v>
      </c>
      <c r="E389" s="5" t="s">
        <v>966</v>
      </c>
      <c r="F389" s="5" t="s">
        <v>7</v>
      </c>
      <c r="G389" s="5">
        <v>9</v>
      </c>
      <c r="H389" s="5" t="s">
        <v>963</v>
      </c>
      <c r="I389" s="13">
        <v>513955141</v>
      </c>
      <c r="J389" s="10" t="s">
        <v>1372</v>
      </c>
      <c r="K389" t="str">
        <f>LEFT(C389,FIND(" ",C389)-1)&amp;"-"&amp;E389&amp;" "&amp;"Filialina çardırılma"</f>
        <v>Əli-Bakı Filialina çardırılma</v>
      </c>
      <c r="L389">
        <f>VLOOKUP(D389,Anbar!$A$2:$B$5,2,FALSE)</f>
        <v>15</v>
      </c>
      <c r="M389">
        <f>VLOOKUP(D389,Anbar!$A$2:$C$5,3,FALSE)</f>
        <v>45</v>
      </c>
      <c r="N389">
        <f t="shared" si="12"/>
        <v>405</v>
      </c>
      <c r="O389">
        <f t="shared" si="13"/>
        <v>270</v>
      </c>
      <c r="P389" t="str">
        <f>IF(AND(F389="Nağd",G389&gt;5),M389*0.9,"0%")</f>
        <v>0%</v>
      </c>
      <c r="Q389" s="9" t="str">
        <f>IF(F389="Kredit",EOMONTH(B389,0),"")</f>
        <v/>
      </c>
      <c r="R389" s="17" t="str">
        <f>TEXT(B389,"dddd")</f>
        <v>Monday</v>
      </c>
    </row>
    <row r="390" spans="1:18">
      <c r="A390" s="5" t="s">
        <v>397</v>
      </c>
      <c r="B390" s="8">
        <v>46032</v>
      </c>
      <c r="C390" s="5" t="s">
        <v>979</v>
      </c>
      <c r="D390" s="5" t="s">
        <v>971</v>
      </c>
      <c r="E390" s="5" t="s">
        <v>980</v>
      </c>
      <c r="F390" s="5" t="s">
        <v>4</v>
      </c>
      <c r="G390" s="5">
        <v>4</v>
      </c>
      <c r="H390" s="5" t="s">
        <v>963</v>
      </c>
      <c r="I390" s="13">
        <v>552738050</v>
      </c>
      <c r="J390" s="10" t="s">
        <v>1373</v>
      </c>
      <c r="K390" t="str">
        <f>LEFT(C390,FIND(" ",C390)-1)&amp;"-"&amp;E390&amp;" "&amp;"Filialina çardırılma"</f>
        <v>Leyla-Sumqayit Filialina çardırılma</v>
      </c>
      <c r="L390">
        <f>VLOOKUP(D390,Anbar!$A$2:$B$5,2,FALSE)</f>
        <v>1200</v>
      </c>
      <c r="M390">
        <f>VLOOKUP(D390,Anbar!$A$2:$C$5,3,FALSE)</f>
        <v>1800</v>
      </c>
      <c r="N390">
        <f t="shared" si="12"/>
        <v>7200</v>
      </c>
      <c r="O390">
        <f t="shared" si="13"/>
        <v>2400</v>
      </c>
      <c r="P390" t="str">
        <f>IF(AND(F390="Nağd",G390&gt;5),M390*0.9,"0%")</f>
        <v>0%</v>
      </c>
      <c r="Q390" s="9">
        <f>IF(F390="Kredit",EOMONTH(B390,0),"")</f>
        <v>46053</v>
      </c>
      <c r="R390" s="17" t="str">
        <f>TEXT(B390,"dddd")</f>
        <v>Saturday</v>
      </c>
    </row>
    <row r="391" spans="1:18">
      <c r="A391" s="5" t="s">
        <v>398</v>
      </c>
      <c r="B391" s="8">
        <v>46076</v>
      </c>
      <c r="C391" s="5" t="s">
        <v>977</v>
      </c>
      <c r="D391" s="5" t="s">
        <v>968</v>
      </c>
      <c r="E391" s="5" t="s">
        <v>966</v>
      </c>
      <c r="F391" s="5" t="s">
        <v>7</v>
      </c>
      <c r="G391" s="5">
        <v>10</v>
      </c>
      <c r="H391" s="5" t="s">
        <v>963</v>
      </c>
      <c r="I391" s="13">
        <v>507299836</v>
      </c>
      <c r="J391" s="10" t="s">
        <v>1374</v>
      </c>
      <c r="K391" t="str">
        <f>LEFT(C391,FIND(" ",C391)-1)&amp;"-"&amp;E391&amp;" "&amp;"Filialina çardırılma"</f>
        <v>Elnur-Bakı Filialina çardırılma</v>
      </c>
      <c r="L391">
        <f>VLOOKUP(D391,Anbar!$A$2:$B$5,2,FALSE)</f>
        <v>400</v>
      </c>
      <c r="M391">
        <f>VLOOKUP(D391,Anbar!$A$2:$C$5,3,FALSE)</f>
        <v>650</v>
      </c>
      <c r="N391">
        <f t="shared" si="12"/>
        <v>6500</v>
      </c>
      <c r="O391">
        <f t="shared" si="13"/>
        <v>2500</v>
      </c>
      <c r="P391" t="str">
        <f>IF(AND(F391="Nağd",G391&gt;5),M391*0.9,"0%")</f>
        <v>0%</v>
      </c>
      <c r="Q391" s="9" t="str">
        <f>IF(F391="Kredit",EOMONTH(B391,0),"")</f>
        <v/>
      </c>
      <c r="R391" s="17" t="str">
        <f>TEXT(B391,"dddd")</f>
        <v>Monday</v>
      </c>
    </row>
    <row r="392" spans="1:18">
      <c r="A392" s="5" t="s">
        <v>399</v>
      </c>
      <c r="B392" s="8">
        <v>46152</v>
      </c>
      <c r="C392" s="5" t="s">
        <v>976</v>
      </c>
      <c r="D392" s="5" t="s">
        <v>15</v>
      </c>
      <c r="E392" s="5" t="s">
        <v>982</v>
      </c>
      <c r="F392" s="5" t="s">
        <v>7</v>
      </c>
      <c r="G392" s="5">
        <v>8</v>
      </c>
      <c r="H392" s="5" t="s">
        <v>963</v>
      </c>
      <c r="I392" s="13">
        <v>550234179</v>
      </c>
      <c r="J392" s="10" t="s">
        <v>1375</v>
      </c>
      <c r="K392" t="str">
        <f>LEFT(C392,FIND(" ",C392)-1)&amp;"-"&amp;E392&amp;" "&amp;"Filialina çardırılma"</f>
        <v>Nərgin-Baki Filialina çardırılma</v>
      </c>
      <c r="L392">
        <f>VLOOKUP(D392,Anbar!$A$2:$B$5,2,FALSE)</f>
        <v>600</v>
      </c>
      <c r="M392">
        <f>VLOOKUP(D392,Anbar!$A$2:$C$5,3,FALSE)</f>
        <v>950</v>
      </c>
      <c r="N392">
        <f t="shared" si="12"/>
        <v>7600</v>
      </c>
      <c r="O392">
        <f t="shared" si="13"/>
        <v>2800</v>
      </c>
      <c r="P392" t="str">
        <f>IF(AND(F392="Nağd",G392&gt;5),M392*0.9,"0%")</f>
        <v>0%</v>
      </c>
      <c r="Q392" s="9" t="str">
        <f>IF(F392="Kredit",EOMONTH(B392,0),"")</f>
        <v/>
      </c>
      <c r="R392" s="17" t="str">
        <f>TEXT(B392,"dddd")</f>
        <v>Sunday</v>
      </c>
    </row>
    <row r="393" spans="1:18">
      <c r="A393" s="5" t="s">
        <v>400</v>
      </c>
      <c r="B393" s="8">
        <v>46044</v>
      </c>
      <c r="C393" s="5" t="s">
        <v>975</v>
      </c>
      <c r="D393" s="5" t="s">
        <v>20</v>
      </c>
      <c r="E393" s="5" t="s">
        <v>980</v>
      </c>
      <c r="F393" s="5" t="s">
        <v>965</v>
      </c>
      <c r="G393" s="5">
        <v>3</v>
      </c>
      <c r="H393" s="5" t="s">
        <v>963</v>
      </c>
      <c r="I393" s="13">
        <v>505707565</v>
      </c>
      <c r="J393" s="10" t="s">
        <v>1376</v>
      </c>
      <c r="K393" t="str">
        <f>LEFT(C393,FIND(" ",C393)-1)&amp;"-"&amp;E393&amp;" "&amp;"Filialina çardırılma"</f>
        <v>Murad-Sumqayit Filialina çardırılma</v>
      </c>
      <c r="L393">
        <f>VLOOKUP(D393,Anbar!$A$2:$B$5,2,FALSE)</f>
        <v>15</v>
      </c>
      <c r="M393">
        <f>VLOOKUP(D393,Anbar!$A$2:$C$5,3,FALSE)</f>
        <v>45</v>
      </c>
      <c r="N393">
        <f t="shared" si="12"/>
        <v>135</v>
      </c>
      <c r="O393">
        <f t="shared" si="13"/>
        <v>90</v>
      </c>
      <c r="P393" t="str">
        <f>IF(AND(F393="Nağd",G393&gt;5),M393*0.9,"0%")</f>
        <v>0%</v>
      </c>
      <c r="Q393" s="9" t="str">
        <f>IF(F393="Kredit",EOMONTH(B393,0),"")</f>
        <v/>
      </c>
      <c r="R393" s="17" t="str">
        <f>TEXT(B393,"dddd")</f>
        <v>Thursday</v>
      </c>
    </row>
    <row r="394" spans="1:18">
      <c r="A394" s="5" t="s">
        <v>401</v>
      </c>
      <c r="B394" s="8">
        <v>46145</v>
      </c>
      <c r="C394" s="5" t="s">
        <v>975</v>
      </c>
      <c r="D394" s="5" t="s">
        <v>968</v>
      </c>
      <c r="E394" s="5" t="s">
        <v>981</v>
      </c>
      <c r="F394" s="5" t="s">
        <v>4</v>
      </c>
      <c r="G394" s="5">
        <v>9</v>
      </c>
      <c r="H394" s="5" t="s">
        <v>963</v>
      </c>
      <c r="I394" s="13">
        <v>774233163</v>
      </c>
      <c r="J394" s="10" t="s">
        <v>1377</v>
      </c>
      <c r="K394" t="str">
        <f>LEFT(C394,FIND(" ",C394)-1)&amp;"-"&amp;E394&amp;" "&amp;"Filialina çardırılma"</f>
        <v>Murad-Gəncə Filialina çardırılma</v>
      </c>
      <c r="L394">
        <f>VLOOKUP(D394,Anbar!$A$2:$B$5,2,FALSE)</f>
        <v>400</v>
      </c>
      <c r="M394">
        <f>VLOOKUP(D394,Anbar!$A$2:$C$5,3,FALSE)</f>
        <v>650</v>
      </c>
      <c r="N394">
        <f t="shared" si="12"/>
        <v>5850</v>
      </c>
      <c r="O394">
        <f t="shared" si="13"/>
        <v>2250</v>
      </c>
      <c r="P394" t="str">
        <f>IF(AND(F394="Nağd",G394&gt;5),M394*0.9,"0%")</f>
        <v>0%</v>
      </c>
      <c r="Q394" s="9">
        <f>IF(F394="Kredit",EOMONTH(B394,0),"")</f>
        <v>46173</v>
      </c>
      <c r="R394" s="17" t="str">
        <f>TEXT(B394,"dddd")</f>
        <v>Sunday</v>
      </c>
    </row>
    <row r="395" spans="1:18">
      <c r="A395" s="5" t="s">
        <v>402</v>
      </c>
      <c r="B395" s="8">
        <v>46039</v>
      </c>
      <c r="C395" s="5" t="s">
        <v>977</v>
      </c>
      <c r="D395" s="5" t="s">
        <v>971</v>
      </c>
      <c r="E395" s="5" t="s">
        <v>966</v>
      </c>
      <c r="F395" s="5" t="s">
        <v>4</v>
      </c>
      <c r="G395" s="5">
        <v>10</v>
      </c>
      <c r="H395" s="5" t="s">
        <v>963</v>
      </c>
      <c r="I395" s="13">
        <v>559032200</v>
      </c>
      <c r="J395" s="10" t="s">
        <v>1378</v>
      </c>
      <c r="K395" t="str">
        <f>LEFT(C395,FIND(" ",C395)-1)&amp;"-"&amp;E395&amp;" "&amp;"Filialina çardırılma"</f>
        <v>Elnur-Bakı Filialina çardırılma</v>
      </c>
      <c r="L395">
        <f>VLOOKUP(D395,Anbar!$A$2:$B$5,2,FALSE)</f>
        <v>1200</v>
      </c>
      <c r="M395">
        <f>VLOOKUP(D395,Anbar!$A$2:$C$5,3,FALSE)</f>
        <v>1800</v>
      </c>
      <c r="N395">
        <f t="shared" si="12"/>
        <v>18000</v>
      </c>
      <c r="O395">
        <f t="shared" si="13"/>
        <v>6000</v>
      </c>
      <c r="P395" t="str">
        <f>IF(AND(F395="Nağd",G395&gt;5),M395*0.9,"0%")</f>
        <v>0%</v>
      </c>
      <c r="Q395" s="9">
        <f>IF(F395="Kredit",EOMONTH(B395,0),"")</f>
        <v>46053</v>
      </c>
      <c r="R395" s="17" t="str">
        <f>TEXT(B395,"dddd")</f>
        <v>Saturday</v>
      </c>
    </row>
    <row r="396" spans="1:18">
      <c r="A396" s="5" t="s">
        <v>403</v>
      </c>
      <c r="B396" s="8">
        <v>46167</v>
      </c>
      <c r="C396" s="5" t="s">
        <v>6</v>
      </c>
      <c r="D396" s="5" t="s">
        <v>15</v>
      </c>
      <c r="E396" s="5" t="s">
        <v>9</v>
      </c>
      <c r="F396" s="5" t="s">
        <v>7</v>
      </c>
      <c r="G396" s="5">
        <v>4</v>
      </c>
      <c r="H396" s="5" t="s">
        <v>963</v>
      </c>
      <c r="I396" s="13">
        <v>515977294</v>
      </c>
      <c r="J396" s="10" t="s">
        <v>1379</v>
      </c>
      <c r="K396" t="str">
        <f>LEFT(C396,FIND(" ",C396)-1)&amp;"-"&amp;E396&amp;" "&amp;"Filialina çardırılma"</f>
        <v>Zaur-Gence Filialina çardırılma</v>
      </c>
      <c r="L396">
        <f>VLOOKUP(D396,Anbar!$A$2:$B$5,2,FALSE)</f>
        <v>600</v>
      </c>
      <c r="M396">
        <f>VLOOKUP(D396,Anbar!$A$2:$C$5,3,FALSE)</f>
        <v>950</v>
      </c>
      <c r="N396">
        <f t="shared" si="12"/>
        <v>3800</v>
      </c>
      <c r="O396">
        <f t="shared" si="13"/>
        <v>1400</v>
      </c>
      <c r="P396" t="str">
        <f>IF(AND(F396="Nağd",G396&gt;5),M396*0.9,"0%")</f>
        <v>0%</v>
      </c>
      <c r="Q396" s="9" t="str">
        <f>IF(F396="Kredit",EOMONTH(B396,0),"")</f>
        <v/>
      </c>
      <c r="R396" s="17" t="str">
        <f>TEXT(B396,"dddd")</f>
        <v>Monday</v>
      </c>
    </row>
    <row r="397" spans="1:18">
      <c r="A397" s="5" t="s">
        <v>404</v>
      </c>
      <c r="B397" s="8">
        <v>46135</v>
      </c>
      <c r="C397" s="5" t="s">
        <v>974</v>
      </c>
      <c r="D397" s="5" t="s">
        <v>20</v>
      </c>
      <c r="E397" s="5" t="s">
        <v>964</v>
      </c>
      <c r="F397" s="5" t="s">
        <v>4</v>
      </c>
      <c r="G397" s="5">
        <v>5</v>
      </c>
      <c r="H397" s="5" t="s">
        <v>963</v>
      </c>
      <c r="I397" s="13">
        <v>777690545</v>
      </c>
      <c r="J397" s="10" t="s">
        <v>1380</v>
      </c>
      <c r="K397" t="str">
        <f>LEFT(C397,FIND(" ",C397)-1)&amp;"-"&amp;E397&amp;" "&amp;"Filialina çardırılma"</f>
        <v>Ramil-Sumqayıt Filialina çardırılma</v>
      </c>
      <c r="L397">
        <f>VLOOKUP(D397,Anbar!$A$2:$B$5,2,FALSE)</f>
        <v>15</v>
      </c>
      <c r="M397">
        <f>VLOOKUP(D397,Anbar!$A$2:$C$5,3,FALSE)</f>
        <v>45</v>
      </c>
      <c r="N397">
        <f t="shared" si="12"/>
        <v>225</v>
      </c>
      <c r="O397">
        <f t="shared" si="13"/>
        <v>150</v>
      </c>
      <c r="P397" t="str">
        <f>IF(AND(F397="Nağd",G397&gt;5),M397*0.9,"0%")</f>
        <v>0%</v>
      </c>
      <c r="Q397" s="9">
        <f>IF(F397="Kredit",EOMONTH(B397,0),"")</f>
        <v>46142</v>
      </c>
      <c r="R397" s="17" t="str">
        <f>TEXT(B397,"dddd")</f>
        <v>Thursday</v>
      </c>
    </row>
    <row r="398" spans="1:18">
      <c r="A398" s="5" t="s">
        <v>405</v>
      </c>
      <c r="B398" s="8">
        <v>46109</v>
      </c>
      <c r="C398" s="5" t="s">
        <v>967</v>
      </c>
      <c r="D398" s="5" t="s">
        <v>20</v>
      </c>
      <c r="E398" s="5" t="s">
        <v>981</v>
      </c>
      <c r="F398" s="5" t="s">
        <v>4</v>
      </c>
      <c r="G398" s="5">
        <v>4</v>
      </c>
      <c r="H398" s="5" t="s">
        <v>963</v>
      </c>
      <c r="I398" s="13">
        <v>709215080</v>
      </c>
      <c r="J398" s="10" t="s">
        <v>1381</v>
      </c>
      <c r="K398" t="str">
        <f>LEFT(C398,FIND(" ",C398)-1)&amp;"-"&amp;E398&amp;" "&amp;"Filialina çardırılma"</f>
        <v>Aysel-Gəncə Filialina çardırılma</v>
      </c>
      <c r="L398">
        <f>VLOOKUP(D398,Anbar!$A$2:$B$5,2,FALSE)</f>
        <v>15</v>
      </c>
      <c r="M398">
        <f>VLOOKUP(D398,Anbar!$A$2:$C$5,3,FALSE)</f>
        <v>45</v>
      </c>
      <c r="N398">
        <f t="shared" si="12"/>
        <v>180</v>
      </c>
      <c r="O398">
        <f t="shared" si="13"/>
        <v>120</v>
      </c>
      <c r="P398" t="str">
        <f>IF(AND(F398="Nağd",G398&gt;5),M398*0.9,"0%")</f>
        <v>0%</v>
      </c>
      <c r="Q398" s="9">
        <f>IF(F398="Kredit",EOMONTH(B398,0),"")</f>
        <v>46112</v>
      </c>
      <c r="R398" s="17" t="str">
        <f>TEXT(B398,"dddd")</f>
        <v>Saturday</v>
      </c>
    </row>
    <row r="399" spans="1:18">
      <c r="A399" s="5" t="s">
        <v>406</v>
      </c>
      <c r="B399" s="8">
        <v>46141</v>
      </c>
      <c r="C399" s="5" t="s">
        <v>979</v>
      </c>
      <c r="D399" s="5" t="s">
        <v>968</v>
      </c>
      <c r="E399" s="5" t="s">
        <v>980</v>
      </c>
      <c r="F399" s="5" t="s">
        <v>4</v>
      </c>
      <c r="G399" s="5">
        <v>9</v>
      </c>
      <c r="H399" s="5" t="s">
        <v>963</v>
      </c>
      <c r="I399" s="13">
        <v>515716958</v>
      </c>
      <c r="J399" s="10" t="s">
        <v>1382</v>
      </c>
      <c r="K399" t="str">
        <f>LEFT(C399,FIND(" ",C399)-1)&amp;"-"&amp;E399&amp;" "&amp;"Filialina çardırılma"</f>
        <v>Leyla-Sumqayit Filialina çardırılma</v>
      </c>
      <c r="L399">
        <f>VLOOKUP(D399,Anbar!$A$2:$B$5,2,FALSE)</f>
        <v>400</v>
      </c>
      <c r="M399">
        <f>VLOOKUP(D399,Anbar!$A$2:$C$5,3,FALSE)</f>
        <v>650</v>
      </c>
      <c r="N399">
        <f t="shared" si="12"/>
        <v>5850</v>
      </c>
      <c r="O399">
        <f t="shared" si="13"/>
        <v>2250</v>
      </c>
      <c r="P399" t="str">
        <f>IF(AND(F399="Nağd",G399&gt;5),M399*0.9,"0%")</f>
        <v>0%</v>
      </c>
      <c r="Q399" s="9">
        <f>IF(F399="Kredit",EOMONTH(B399,0),"")</f>
        <v>46142</v>
      </c>
      <c r="R399" s="17" t="str">
        <f>TEXT(B399,"dddd")</f>
        <v>Wednesday</v>
      </c>
    </row>
    <row r="400" spans="1:18">
      <c r="A400" s="5" t="s">
        <v>407</v>
      </c>
      <c r="B400" s="8">
        <v>46036</v>
      </c>
      <c r="C400" s="5" t="s">
        <v>974</v>
      </c>
      <c r="D400" s="5" t="s">
        <v>971</v>
      </c>
      <c r="E400" s="5" t="s">
        <v>964</v>
      </c>
      <c r="F400" s="5" t="s">
        <v>965</v>
      </c>
      <c r="G400" s="5">
        <v>7</v>
      </c>
      <c r="H400" s="5" t="s">
        <v>963</v>
      </c>
      <c r="I400" s="13">
        <v>708791479</v>
      </c>
      <c r="J400" s="10" t="s">
        <v>1383</v>
      </c>
      <c r="K400" t="str">
        <f>LEFT(C400,FIND(" ",C400)-1)&amp;"-"&amp;E400&amp;" "&amp;"Filialina çardırılma"</f>
        <v>Ramil-Sumqayıt Filialina çardırılma</v>
      </c>
      <c r="L400">
        <f>VLOOKUP(D400,Anbar!$A$2:$B$5,2,FALSE)</f>
        <v>1200</v>
      </c>
      <c r="M400">
        <f>VLOOKUP(D400,Anbar!$A$2:$C$5,3,FALSE)</f>
        <v>1800</v>
      </c>
      <c r="N400">
        <f t="shared" si="12"/>
        <v>12600</v>
      </c>
      <c r="O400">
        <f t="shared" si="13"/>
        <v>4200</v>
      </c>
      <c r="P400">
        <f>IF(AND(F400="Nağd",G400&gt;5),M400*0.9,"0%")</f>
        <v>1620</v>
      </c>
      <c r="Q400" s="9" t="str">
        <f>IF(F400="Kredit",EOMONTH(B400,0),"")</f>
        <v/>
      </c>
      <c r="R400" s="17" t="str">
        <f>TEXT(B400,"dddd")</f>
        <v>Wednesday</v>
      </c>
    </row>
    <row r="401" spans="1:18">
      <c r="A401" s="5" t="s">
        <v>408</v>
      </c>
      <c r="B401" s="8">
        <v>46092</v>
      </c>
      <c r="C401" s="5" t="s">
        <v>978</v>
      </c>
      <c r="D401" s="5" t="s">
        <v>20</v>
      </c>
      <c r="E401" s="5" t="s">
        <v>982</v>
      </c>
      <c r="F401" s="5" t="s">
        <v>7</v>
      </c>
      <c r="G401" s="5">
        <v>10</v>
      </c>
      <c r="H401" s="5" t="s">
        <v>963</v>
      </c>
      <c r="I401" s="13">
        <v>704626902</v>
      </c>
      <c r="J401" s="10" t="s">
        <v>1384</v>
      </c>
      <c r="K401" t="str">
        <f>LEFT(C401,FIND(" ",C401)-1)&amp;"-"&amp;E401&amp;" "&amp;"Filialina çardırılma"</f>
        <v>Əli-Baki Filialina çardırılma</v>
      </c>
      <c r="L401">
        <f>VLOOKUP(D401,Anbar!$A$2:$B$5,2,FALSE)</f>
        <v>15</v>
      </c>
      <c r="M401">
        <f>VLOOKUP(D401,Anbar!$A$2:$C$5,3,FALSE)</f>
        <v>45</v>
      </c>
      <c r="N401">
        <f t="shared" si="12"/>
        <v>450</v>
      </c>
      <c r="O401">
        <f t="shared" si="13"/>
        <v>300</v>
      </c>
      <c r="P401" t="str">
        <f>IF(AND(F401="Nağd",G401&gt;5),M401*0.9,"0%")</f>
        <v>0%</v>
      </c>
      <c r="Q401" s="9" t="str">
        <f>IF(F401="Kredit",EOMONTH(B401,0),"")</f>
        <v/>
      </c>
      <c r="R401" s="17" t="str">
        <f>TEXT(B401,"dddd")</f>
        <v>Wednesday</v>
      </c>
    </row>
    <row r="402" spans="1:18">
      <c r="A402" s="5" t="s">
        <v>409</v>
      </c>
      <c r="B402" s="8">
        <v>46132</v>
      </c>
      <c r="C402" s="5" t="s">
        <v>975</v>
      </c>
      <c r="D402" s="5" t="s">
        <v>20</v>
      </c>
      <c r="E402" s="5" t="s">
        <v>966</v>
      </c>
      <c r="F402" s="5" t="s">
        <v>965</v>
      </c>
      <c r="G402" s="5">
        <v>4</v>
      </c>
      <c r="H402" s="5" t="s">
        <v>963</v>
      </c>
      <c r="I402" s="13">
        <v>700217264</v>
      </c>
      <c r="J402" s="10" t="s">
        <v>1385</v>
      </c>
      <c r="K402" t="str">
        <f>LEFT(C402,FIND(" ",C402)-1)&amp;"-"&amp;E402&amp;" "&amp;"Filialina çardırılma"</f>
        <v>Murad-Bakı Filialina çardırılma</v>
      </c>
      <c r="L402">
        <f>VLOOKUP(D402,Anbar!$A$2:$B$5,2,FALSE)</f>
        <v>15</v>
      </c>
      <c r="M402">
        <f>VLOOKUP(D402,Anbar!$A$2:$C$5,3,FALSE)</f>
        <v>45</v>
      </c>
      <c r="N402">
        <f t="shared" si="12"/>
        <v>180</v>
      </c>
      <c r="O402">
        <f t="shared" si="13"/>
        <v>120</v>
      </c>
      <c r="P402" t="str">
        <f>IF(AND(F402="Nağd",G402&gt;5),M402*0.9,"0%")</f>
        <v>0%</v>
      </c>
      <c r="Q402" s="9" t="str">
        <f>IF(F402="Kredit",EOMONTH(B402,0),"")</f>
        <v/>
      </c>
      <c r="R402" s="17" t="str">
        <f>TEXT(B402,"dddd")</f>
        <v>Monday</v>
      </c>
    </row>
    <row r="403" spans="1:18">
      <c r="A403" s="5" t="s">
        <v>410</v>
      </c>
      <c r="B403" s="8">
        <v>46099</v>
      </c>
      <c r="C403" s="5" t="s">
        <v>6</v>
      </c>
      <c r="D403" s="5" t="s">
        <v>20</v>
      </c>
      <c r="E403" s="5" t="s">
        <v>964</v>
      </c>
      <c r="F403" s="5" t="s">
        <v>4</v>
      </c>
      <c r="G403" s="5">
        <v>8</v>
      </c>
      <c r="H403" s="5" t="s">
        <v>963</v>
      </c>
      <c r="I403" s="13">
        <v>702291451</v>
      </c>
      <c r="J403" s="10" t="s">
        <v>1386</v>
      </c>
      <c r="K403" t="str">
        <f>LEFT(C403,FIND(" ",C403)-1)&amp;"-"&amp;E403&amp;" "&amp;"Filialina çardırılma"</f>
        <v>Zaur-Sumqayıt Filialina çardırılma</v>
      </c>
      <c r="L403">
        <f>VLOOKUP(D403,Anbar!$A$2:$B$5,2,FALSE)</f>
        <v>15</v>
      </c>
      <c r="M403">
        <f>VLOOKUP(D403,Anbar!$A$2:$C$5,3,FALSE)</f>
        <v>45</v>
      </c>
      <c r="N403">
        <f t="shared" si="12"/>
        <v>360</v>
      </c>
      <c r="O403">
        <f t="shared" si="13"/>
        <v>240</v>
      </c>
      <c r="P403" t="str">
        <f>IF(AND(F403="Nağd",G403&gt;5),M403*0.9,"0%")</f>
        <v>0%</v>
      </c>
      <c r="Q403" s="9">
        <f>IF(F403="Kredit",EOMONTH(B403,0),"")</f>
        <v>46112</v>
      </c>
      <c r="R403" s="17" t="str">
        <f>TEXT(B403,"dddd")</f>
        <v>Wednesday</v>
      </c>
    </row>
    <row r="404" spans="1:18">
      <c r="A404" s="5" t="s">
        <v>411</v>
      </c>
      <c r="B404" s="8">
        <v>46155</v>
      </c>
      <c r="C404" s="5" t="s">
        <v>975</v>
      </c>
      <c r="D404" s="5" t="s">
        <v>971</v>
      </c>
      <c r="E404" s="5" t="s">
        <v>981</v>
      </c>
      <c r="F404" s="5" t="s">
        <v>4</v>
      </c>
      <c r="G404" s="5">
        <v>1</v>
      </c>
      <c r="H404" s="5" t="s">
        <v>963</v>
      </c>
      <c r="I404" s="13">
        <v>772924002</v>
      </c>
      <c r="J404" s="10" t="s">
        <v>1387</v>
      </c>
      <c r="K404" t="str">
        <f>LEFT(C404,FIND(" ",C404)-1)&amp;"-"&amp;E404&amp;" "&amp;"Filialina çardırılma"</f>
        <v>Murad-Gəncə Filialina çardırılma</v>
      </c>
      <c r="L404">
        <f>VLOOKUP(D404,Anbar!$A$2:$B$5,2,FALSE)</f>
        <v>1200</v>
      </c>
      <c r="M404">
        <f>VLOOKUP(D404,Anbar!$A$2:$C$5,3,FALSE)</f>
        <v>1800</v>
      </c>
      <c r="N404">
        <f t="shared" si="12"/>
        <v>1800</v>
      </c>
      <c r="O404">
        <f t="shared" si="13"/>
        <v>600</v>
      </c>
      <c r="P404" t="str">
        <f>IF(AND(F404="Nağd",G404&gt;5),M404*0.9,"0%")</f>
        <v>0%</v>
      </c>
      <c r="Q404" s="9">
        <f>IF(F404="Kredit",EOMONTH(B404,0),"")</f>
        <v>46173</v>
      </c>
      <c r="R404" s="17" t="str">
        <f>TEXT(B404,"dddd")</f>
        <v>Wednesday</v>
      </c>
    </row>
    <row r="405" spans="1:18">
      <c r="A405" s="5" t="s">
        <v>412</v>
      </c>
      <c r="B405" s="8">
        <v>46167</v>
      </c>
      <c r="C405" s="5" t="s">
        <v>976</v>
      </c>
      <c r="D405" s="5" t="s">
        <v>971</v>
      </c>
      <c r="E405" s="5" t="s">
        <v>982</v>
      </c>
      <c r="F405" s="5" t="s">
        <v>965</v>
      </c>
      <c r="G405" s="5">
        <v>4</v>
      </c>
      <c r="H405" s="5" t="s">
        <v>963</v>
      </c>
      <c r="I405" s="13">
        <v>779380114</v>
      </c>
      <c r="J405" s="10" t="s">
        <v>1388</v>
      </c>
      <c r="K405" t="str">
        <f>LEFT(C405,FIND(" ",C405)-1)&amp;"-"&amp;E405&amp;" "&amp;"Filialina çardırılma"</f>
        <v>Nərgin-Baki Filialina çardırılma</v>
      </c>
      <c r="L405">
        <f>VLOOKUP(D405,Anbar!$A$2:$B$5,2,FALSE)</f>
        <v>1200</v>
      </c>
      <c r="M405">
        <f>VLOOKUP(D405,Anbar!$A$2:$C$5,3,FALSE)</f>
        <v>1800</v>
      </c>
      <c r="N405">
        <f t="shared" si="12"/>
        <v>7200</v>
      </c>
      <c r="O405">
        <f t="shared" si="13"/>
        <v>2400</v>
      </c>
      <c r="P405" t="str">
        <f>IF(AND(F405="Nağd",G405&gt;5),M405*0.9,"0%")</f>
        <v>0%</v>
      </c>
      <c r="Q405" s="9" t="str">
        <f>IF(F405="Kredit",EOMONTH(B405,0),"")</f>
        <v/>
      </c>
      <c r="R405" s="17" t="str">
        <f>TEXT(B405,"dddd")</f>
        <v>Monday</v>
      </c>
    </row>
    <row r="406" spans="1:18">
      <c r="A406" s="5" t="s">
        <v>413</v>
      </c>
      <c r="B406" s="8">
        <v>46064</v>
      </c>
      <c r="C406" s="5" t="s">
        <v>6</v>
      </c>
      <c r="D406" s="5" t="s">
        <v>15</v>
      </c>
      <c r="E406" s="5" t="s">
        <v>980</v>
      </c>
      <c r="F406" s="5" t="s">
        <v>965</v>
      </c>
      <c r="G406" s="5">
        <v>5</v>
      </c>
      <c r="H406" s="5" t="s">
        <v>963</v>
      </c>
      <c r="I406" s="13">
        <v>503442252</v>
      </c>
      <c r="J406" s="10" t="s">
        <v>1389</v>
      </c>
      <c r="K406" t="str">
        <f>LEFT(C406,FIND(" ",C406)-1)&amp;"-"&amp;E406&amp;" "&amp;"Filialina çardırılma"</f>
        <v>Zaur-Sumqayit Filialina çardırılma</v>
      </c>
      <c r="L406">
        <f>VLOOKUP(D406,Anbar!$A$2:$B$5,2,FALSE)</f>
        <v>600</v>
      </c>
      <c r="M406">
        <f>VLOOKUP(D406,Anbar!$A$2:$C$5,3,FALSE)</f>
        <v>950</v>
      </c>
      <c r="N406">
        <f t="shared" si="12"/>
        <v>4750</v>
      </c>
      <c r="O406">
        <f t="shared" si="13"/>
        <v>1750</v>
      </c>
      <c r="P406" t="str">
        <f>IF(AND(F406="Nağd",G406&gt;5),M406*0.9,"0%")</f>
        <v>0%</v>
      </c>
      <c r="Q406" s="9" t="str">
        <f>IF(F406="Kredit",EOMONTH(B406,0),"")</f>
        <v/>
      </c>
      <c r="R406" s="17" t="str">
        <f>TEXT(B406,"dddd")</f>
        <v>Wednesday</v>
      </c>
    </row>
    <row r="407" spans="1:18">
      <c r="A407" s="5" t="s">
        <v>414</v>
      </c>
      <c r="B407" s="8">
        <v>46117</v>
      </c>
      <c r="C407" s="5" t="s">
        <v>975</v>
      </c>
      <c r="D407" s="5" t="s">
        <v>15</v>
      </c>
      <c r="E407" s="5" t="s">
        <v>981</v>
      </c>
      <c r="F407" s="5" t="s">
        <v>965</v>
      </c>
      <c r="G407" s="5">
        <v>1</v>
      </c>
      <c r="H407" s="5" t="s">
        <v>963</v>
      </c>
      <c r="I407" s="13">
        <v>556717401</v>
      </c>
      <c r="J407" s="10" t="s">
        <v>1390</v>
      </c>
      <c r="K407" t="str">
        <f>LEFT(C407,FIND(" ",C407)-1)&amp;"-"&amp;E407&amp;" "&amp;"Filialina çardırılma"</f>
        <v>Murad-Gəncə Filialina çardırılma</v>
      </c>
      <c r="L407">
        <f>VLOOKUP(D407,Anbar!$A$2:$B$5,2,FALSE)</f>
        <v>600</v>
      </c>
      <c r="M407">
        <f>VLOOKUP(D407,Anbar!$A$2:$C$5,3,FALSE)</f>
        <v>950</v>
      </c>
      <c r="N407">
        <f t="shared" si="12"/>
        <v>950</v>
      </c>
      <c r="O407">
        <f t="shared" si="13"/>
        <v>350</v>
      </c>
      <c r="P407" t="str">
        <f>IF(AND(F407="Nağd",G407&gt;5),M407*0.9,"0%")</f>
        <v>0%</v>
      </c>
      <c r="Q407" s="9" t="str">
        <f>IF(F407="Kredit",EOMONTH(B407,0),"")</f>
        <v/>
      </c>
      <c r="R407" s="17" t="str">
        <f>TEXT(B407,"dddd")</f>
        <v>Sunday</v>
      </c>
    </row>
    <row r="408" spans="1:18">
      <c r="A408" s="5" t="s">
        <v>415</v>
      </c>
      <c r="B408" s="8">
        <v>46147</v>
      </c>
      <c r="C408" s="5" t="s">
        <v>974</v>
      </c>
      <c r="D408" s="5" t="s">
        <v>971</v>
      </c>
      <c r="E408" s="5" t="s">
        <v>9</v>
      </c>
      <c r="F408" s="5" t="s">
        <v>4</v>
      </c>
      <c r="G408" s="5">
        <v>7</v>
      </c>
      <c r="H408" s="5" t="s">
        <v>963</v>
      </c>
      <c r="I408" s="13">
        <v>700858823</v>
      </c>
      <c r="J408" s="10" t="s">
        <v>1391</v>
      </c>
      <c r="K408" t="str">
        <f>LEFT(C408,FIND(" ",C408)-1)&amp;"-"&amp;E408&amp;" "&amp;"Filialina çardırılma"</f>
        <v>Ramil-Gence Filialina çardırılma</v>
      </c>
      <c r="L408">
        <f>VLOOKUP(D408,Anbar!$A$2:$B$5,2,FALSE)</f>
        <v>1200</v>
      </c>
      <c r="M408">
        <f>VLOOKUP(D408,Anbar!$A$2:$C$5,3,FALSE)</f>
        <v>1800</v>
      </c>
      <c r="N408">
        <f t="shared" si="12"/>
        <v>12600</v>
      </c>
      <c r="O408">
        <f t="shared" si="13"/>
        <v>4200</v>
      </c>
      <c r="P408" t="str">
        <f>IF(AND(F408="Nağd",G408&gt;5),M408*0.9,"0%")</f>
        <v>0%</v>
      </c>
      <c r="Q408" s="9">
        <f>IF(F408="Kredit",EOMONTH(B408,0),"")</f>
        <v>46173</v>
      </c>
      <c r="R408" s="17" t="str">
        <f>TEXT(B408,"dddd")</f>
        <v>Tuesday</v>
      </c>
    </row>
    <row r="409" spans="1:18">
      <c r="A409" s="5" t="s">
        <v>416</v>
      </c>
      <c r="B409" s="8">
        <v>46084</v>
      </c>
      <c r="C409" s="5" t="s">
        <v>977</v>
      </c>
      <c r="D409" s="5" t="s">
        <v>20</v>
      </c>
      <c r="E409" s="5" t="s">
        <v>9</v>
      </c>
      <c r="F409" s="5" t="s">
        <v>4</v>
      </c>
      <c r="G409" s="5">
        <v>6</v>
      </c>
      <c r="H409" s="5" t="s">
        <v>963</v>
      </c>
      <c r="I409" s="13">
        <v>776067418</v>
      </c>
      <c r="J409" s="10" t="s">
        <v>1392</v>
      </c>
      <c r="K409" t="str">
        <f>LEFT(C409,FIND(" ",C409)-1)&amp;"-"&amp;E409&amp;" "&amp;"Filialina çardırılma"</f>
        <v>Elnur-Gence Filialina çardırılma</v>
      </c>
      <c r="L409">
        <f>VLOOKUP(D409,Anbar!$A$2:$B$5,2,FALSE)</f>
        <v>15</v>
      </c>
      <c r="M409">
        <f>VLOOKUP(D409,Anbar!$A$2:$C$5,3,FALSE)</f>
        <v>45</v>
      </c>
      <c r="N409">
        <f t="shared" si="12"/>
        <v>270</v>
      </c>
      <c r="O409">
        <f t="shared" si="13"/>
        <v>180</v>
      </c>
      <c r="P409" t="str">
        <f>IF(AND(F409="Nağd",G409&gt;5),M409*0.9,"0%")</f>
        <v>0%</v>
      </c>
      <c r="Q409" s="9">
        <f>IF(F409="Kredit",EOMONTH(B409,0),"")</f>
        <v>46112</v>
      </c>
      <c r="R409" s="17" t="str">
        <f>TEXT(B409,"dddd")</f>
        <v>Tuesday</v>
      </c>
    </row>
    <row r="410" spans="1:18">
      <c r="A410" s="5" t="s">
        <v>417</v>
      </c>
      <c r="B410" s="8">
        <v>46071</v>
      </c>
      <c r="C410" s="5" t="s">
        <v>976</v>
      </c>
      <c r="D410" s="5" t="s">
        <v>971</v>
      </c>
      <c r="E410" s="5" t="s">
        <v>980</v>
      </c>
      <c r="F410" s="5" t="s">
        <v>965</v>
      </c>
      <c r="G410" s="5">
        <v>5</v>
      </c>
      <c r="H410" s="5" t="s">
        <v>963</v>
      </c>
      <c r="I410" s="13">
        <v>557127560</v>
      </c>
      <c r="J410" s="10" t="s">
        <v>1393</v>
      </c>
      <c r="K410" t="str">
        <f>LEFT(C410,FIND(" ",C410)-1)&amp;"-"&amp;E410&amp;" "&amp;"Filialina çardırılma"</f>
        <v>Nərgin-Sumqayit Filialina çardırılma</v>
      </c>
      <c r="L410">
        <f>VLOOKUP(D410,Anbar!$A$2:$B$5,2,FALSE)</f>
        <v>1200</v>
      </c>
      <c r="M410">
        <f>VLOOKUP(D410,Anbar!$A$2:$C$5,3,FALSE)</f>
        <v>1800</v>
      </c>
      <c r="N410">
        <f t="shared" si="12"/>
        <v>9000</v>
      </c>
      <c r="O410">
        <f t="shared" si="13"/>
        <v>3000</v>
      </c>
      <c r="P410" t="str">
        <f>IF(AND(F410="Nağd",G410&gt;5),M410*0.9,"0%")</f>
        <v>0%</v>
      </c>
      <c r="Q410" s="9" t="str">
        <f>IF(F410="Kredit",EOMONTH(B410,0),"")</f>
        <v/>
      </c>
      <c r="R410" s="17" t="str">
        <f>TEXT(B410,"dddd")</f>
        <v>Wednesday</v>
      </c>
    </row>
    <row r="411" spans="1:18">
      <c r="A411" s="5" t="s">
        <v>418</v>
      </c>
      <c r="B411" s="8">
        <v>46059</v>
      </c>
      <c r="C411" s="5" t="s">
        <v>975</v>
      </c>
      <c r="D411" s="5" t="s">
        <v>968</v>
      </c>
      <c r="E411" s="5" t="s">
        <v>981</v>
      </c>
      <c r="F411" s="5" t="s">
        <v>965</v>
      </c>
      <c r="G411" s="5">
        <v>7</v>
      </c>
      <c r="H411" s="5" t="s">
        <v>963</v>
      </c>
      <c r="I411" s="13">
        <v>779704198</v>
      </c>
      <c r="J411" s="10" t="s">
        <v>1394</v>
      </c>
      <c r="K411" t="str">
        <f>LEFT(C411,FIND(" ",C411)-1)&amp;"-"&amp;E411&amp;" "&amp;"Filialina çardırılma"</f>
        <v>Murad-Gəncə Filialina çardırılma</v>
      </c>
      <c r="L411">
        <f>VLOOKUP(D411,Anbar!$A$2:$B$5,2,FALSE)</f>
        <v>400</v>
      </c>
      <c r="M411">
        <f>VLOOKUP(D411,Anbar!$A$2:$C$5,3,FALSE)</f>
        <v>650</v>
      </c>
      <c r="N411">
        <f t="shared" si="12"/>
        <v>4550</v>
      </c>
      <c r="O411">
        <f t="shared" si="13"/>
        <v>1750</v>
      </c>
      <c r="P411">
        <f>IF(AND(F411="Nağd",G411&gt;5),M411*0.9,"0%")</f>
        <v>585</v>
      </c>
      <c r="Q411" s="9" t="str">
        <f>IF(F411="Kredit",EOMONTH(B411,0),"")</f>
        <v/>
      </c>
      <c r="R411" s="17" t="str">
        <f>TEXT(B411,"dddd")</f>
        <v>Friday</v>
      </c>
    </row>
    <row r="412" spans="1:18">
      <c r="A412" s="5" t="s">
        <v>419</v>
      </c>
      <c r="B412" s="8">
        <v>46140</v>
      </c>
      <c r="C412" s="5" t="s">
        <v>978</v>
      </c>
      <c r="D412" s="5" t="s">
        <v>971</v>
      </c>
      <c r="E412" s="5" t="s">
        <v>964</v>
      </c>
      <c r="F412" s="5" t="s">
        <v>4</v>
      </c>
      <c r="G412" s="5">
        <v>4</v>
      </c>
      <c r="H412" s="5" t="s">
        <v>963</v>
      </c>
      <c r="I412" s="13">
        <v>709237020</v>
      </c>
      <c r="J412" s="10" t="s">
        <v>1395</v>
      </c>
      <c r="K412" t="str">
        <f>LEFT(C412,FIND(" ",C412)-1)&amp;"-"&amp;E412&amp;" "&amp;"Filialina çardırılma"</f>
        <v>Əli-Sumqayıt Filialina çardırılma</v>
      </c>
      <c r="L412">
        <f>VLOOKUP(D412,Anbar!$A$2:$B$5,2,FALSE)</f>
        <v>1200</v>
      </c>
      <c r="M412">
        <f>VLOOKUP(D412,Anbar!$A$2:$C$5,3,FALSE)</f>
        <v>1800</v>
      </c>
      <c r="N412">
        <f t="shared" si="12"/>
        <v>7200</v>
      </c>
      <c r="O412">
        <f t="shared" si="13"/>
        <v>2400</v>
      </c>
      <c r="P412" t="str">
        <f>IF(AND(F412="Nağd",G412&gt;5),M412*0.9,"0%")</f>
        <v>0%</v>
      </c>
      <c r="Q412" s="9">
        <f>IF(F412="Kredit",EOMONTH(B412,0),"")</f>
        <v>46142</v>
      </c>
      <c r="R412" s="17" t="str">
        <f>TEXT(B412,"dddd")</f>
        <v>Tuesday</v>
      </c>
    </row>
    <row r="413" spans="1:18">
      <c r="A413" s="5" t="s">
        <v>420</v>
      </c>
      <c r="B413" s="8">
        <v>46165</v>
      </c>
      <c r="C413" s="5" t="s">
        <v>975</v>
      </c>
      <c r="D413" s="5" t="s">
        <v>968</v>
      </c>
      <c r="E413" s="5" t="s">
        <v>980</v>
      </c>
      <c r="F413" s="5" t="s">
        <v>4</v>
      </c>
      <c r="G413" s="5">
        <v>7</v>
      </c>
      <c r="H413" s="5" t="s">
        <v>963</v>
      </c>
      <c r="I413" s="13">
        <v>557998726</v>
      </c>
      <c r="J413" s="10" t="s">
        <v>1396</v>
      </c>
      <c r="K413" t="str">
        <f>LEFT(C413,FIND(" ",C413)-1)&amp;"-"&amp;E413&amp;" "&amp;"Filialina çardırılma"</f>
        <v>Murad-Sumqayit Filialina çardırılma</v>
      </c>
      <c r="L413">
        <f>VLOOKUP(D413,Anbar!$A$2:$B$5,2,FALSE)</f>
        <v>400</v>
      </c>
      <c r="M413">
        <f>VLOOKUP(D413,Anbar!$A$2:$C$5,3,FALSE)</f>
        <v>650</v>
      </c>
      <c r="N413">
        <f t="shared" si="12"/>
        <v>4550</v>
      </c>
      <c r="O413">
        <f t="shared" si="13"/>
        <v>1750</v>
      </c>
      <c r="P413" t="str">
        <f>IF(AND(F413="Nağd",G413&gt;5),M413*0.9,"0%")</f>
        <v>0%</v>
      </c>
      <c r="Q413" s="9">
        <f>IF(F413="Kredit",EOMONTH(B413,0),"")</f>
        <v>46173</v>
      </c>
      <c r="R413" s="17" t="str">
        <f>TEXT(B413,"dddd")</f>
        <v>Saturday</v>
      </c>
    </row>
    <row r="414" spans="1:18">
      <c r="A414" s="5" t="s">
        <v>421</v>
      </c>
      <c r="B414" s="8">
        <v>46113</v>
      </c>
      <c r="C414" s="5" t="s">
        <v>974</v>
      </c>
      <c r="D414" s="5" t="s">
        <v>15</v>
      </c>
      <c r="E414" s="5" t="s">
        <v>980</v>
      </c>
      <c r="F414" s="5" t="s">
        <v>4</v>
      </c>
      <c r="G414" s="5">
        <v>10</v>
      </c>
      <c r="H414" s="5" t="s">
        <v>963</v>
      </c>
      <c r="I414" s="13">
        <v>774567090</v>
      </c>
      <c r="J414" s="10" t="s">
        <v>1397</v>
      </c>
      <c r="K414" t="str">
        <f>LEFT(C414,FIND(" ",C414)-1)&amp;"-"&amp;E414&amp;" "&amp;"Filialina çardırılma"</f>
        <v>Ramil-Sumqayit Filialina çardırılma</v>
      </c>
      <c r="L414">
        <f>VLOOKUP(D414,Anbar!$A$2:$B$5,2,FALSE)</f>
        <v>600</v>
      </c>
      <c r="M414">
        <f>VLOOKUP(D414,Anbar!$A$2:$C$5,3,FALSE)</f>
        <v>950</v>
      </c>
      <c r="N414">
        <f t="shared" si="12"/>
        <v>9500</v>
      </c>
      <c r="O414">
        <f t="shared" si="13"/>
        <v>3500</v>
      </c>
      <c r="P414" t="str">
        <f>IF(AND(F414="Nağd",G414&gt;5),M414*0.9,"0%")</f>
        <v>0%</v>
      </c>
      <c r="Q414" s="9">
        <f>IF(F414="Kredit",EOMONTH(B414,0),"")</f>
        <v>46142</v>
      </c>
      <c r="R414" s="17" t="str">
        <f>TEXT(B414,"dddd")</f>
        <v>Wednesday</v>
      </c>
    </row>
    <row r="415" spans="1:18">
      <c r="A415" s="5" t="s">
        <v>422</v>
      </c>
      <c r="B415" s="8">
        <v>46123</v>
      </c>
      <c r="C415" s="5" t="s">
        <v>979</v>
      </c>
      <c r="D415" s="5" t="s">
        <v>20</v>
      </c>
      <c r="E415" s="5" t="s">
        <v>9</v>
      </c>
      <c r="F415" s="5" t="s">
        <v>4</v>
      </c>
      <c r="G415" s="5">
        <v>10</v>
      </c>
      <c r="H415" s="5" t="s">
        <v>963</v>
      </c>
      <c r="I415" s="13">
        <v>770361337</v>
      </c>
      <c r="J415" s="10" t="s">
        <v>1398</v>
      </c>
      <c r="K415" t="str">
        <f>LEFT(C415,FIND(" ",C415)-1)&amp;"-"&amp;E415&amp;" "&amp;"Filialina çardırılma"</f>
        <v>Leyla-Gence Filialina çardırılma</v>
      </c>
      <c r="L415">
        <f>VLOOKUP(D415,Anbar!$A$2:$B$5,2,FALSE)</f>
        <v>15</v>
      </c>
      <c r="M415">
        <f>VLOOKUP(D415,Anbar!$A$2:$C$5,3,FALSE)</f>
        <v>45</v>
      </c>
      <c r="N415">
        <f t="shared" si="12"/>
        <v>450</v>
      </c>
      <c r="O415">
        <f t="shared" si="13"/>
        <v>300</v>
      </c>
      <c r="P415" t="str">
        <f>IF(AND(F415="Nağd",G415&gt;5),M415*0.9,"0%")</f>
        <v>0%</v>
      </c>
      <c r="Q415" s="9">
        <f>IF(F415="Kredit",EOMONTH(B415,0),"")</f>
        <v>46142</v>
      </c>
      <c r="R415" s="17" t="str">
        <f>TEXT(B415,"dddd")</f>
        <v>Saturday</v>
      </c>
    </row>
    <row r="416" spans="1:18">
      <c r="A416" s="5" t="s">
        <v>423</v>
      </c>
      <c r="B416" s="8">
        <v>46091</v>
      </c>
      <c r="C416" s="5" t="s">
        <v>967</v>
      </c>
      <c r="D416" s="5" t="s">
        <v>20</v>
      </c>
      <c r="E416" s="5" t="s">
        <v>982</v>
      </c>
      <c r="F416" s="5" t="s">
        <v>965</v>
      </c>
      <c r="G416" s="5">
        <v>9</v>
      </c>
      <c r="H416" s="5" t="s">
        <v>963</v>
      </c>
      <c r="I416" s="13">
        <v>504193870</v>
      </c>
      <c r="J416" s="10" t="s">
        <v>1399</v>
      </c>
      <c r="K416" t="str">
        <f>LEFT(C416,FIND(" ",C416)-1)&amp;"-"&amp;E416&amp;" "&amp;"Filialina çardırılma"</f>
        <v>Aysel-Baki Filialina çardırılma</v>
      </c>
      <c r="L416">
        <f>VLOOKUP(D416,Anbar!$A$2:$B$5,2,FALSE)</f>
        <v>15</v>
      </c>
      <c r="M416">
        <f>VLOOKUP(D416,Anbar!$A$2:$C$5,3,FALSE)</f>
        <v>45</v>
      </c>
      <c r="N416">
        <f t="shared" si="12"/>
        <v>405</v>
      </c>
      <c r="O416">
        <f t="shared" si="13"/>
        <v>270</v>
      </c>
      <c r="P416">
        <f>IF(AND(F416="Nağd",G416&gt;5),M416*0.9,"0%")</f>
        <v>40.5</v>
      </c>
      <c r="Q416" s="9" t="str">
        <f>IF(F416="Kredit",EOMONTH(B416,0),"")</f>
        <v/>
      </c>
      <c r="R416" s="17" t="str">
        <f>TEXT(B416,"dddd")</f>
        <v>Tuesday</v>
      </c>
    </row>
    <row r="417" spans="1:18">
      <c r="A417" s="5" t="s">
        <v>424</v>
      </c>
      <c r="B417" s="8">
        <v>46054</v>
      </c>
      <c r="C417" s="5" t="s">
        <v>967</v>
      </c>
      <c r="D417" s="5" t="s">
        <v>968</v>
      </c>
      <c r="E417" s="5" t="s">
        <v>982</v>
      </c>
      <c r="F417" s="5" t="s">
        <v>965</v>
      </c>
      <c r="G417" s="5">
        <v>9</v>
      </c>
      <c r="H417" s="5" t="s">
        <v>963</v>
      </c>
      <c r="I417" s="13">
        <v>503384662</v>
      </c>
      <c r="J417" s="10" t="s">
        <v>1400</v>
      </c>
      <c r="K417" t="str">
        <f>LEFT(C417,FIND(" ",C417)-1)&amp;"-"&amp;E417&amp;" "&amp;"Filialina çardırılma"</f>
        <v>Aysel-Baki Filialina çardırılma</v>
      </c>
      <c r="L417">
        <f>VLOOKUP(D417,Anbar!$A$2:$B$5,2,FALSE)</f>
        <v>400</v>
      </c>
      <c r="M417">
        <f>VLOOKUP(D417,Anbar!$A$2:$C$5,3,FALSE)</f>
        <v>650</v>
      </c>
      <c r="N417">
        <f t="shared" si="12"/>
        <v>5850</v>
      </c>
      <c r="O417">
        <f t="shared" si="13"/>
        <v>2250</v>
      </c>
      <c r="P417">
        <f>IF(AND(F417="Nağd",G417&gt;5),M417*0.9,"0%")</f>
        <v>585</v>
      </c>
      <c r="Q417" s="9" t="str">
        <f>IF(F417="Kredit",EOMONTH(B417,0),"")</f>
        <v/>
      </c>
      <c r="R417" s="17" t="str">
        <f>TEXT(B417,"dddd")</f>
        <v>Sunday</v>
      </c>
    </row>
    <row r="418" spans="1:18">
      <c r="A418" s="5" t="s">
        <v>425</v>
      </c>
      <c r="B418" s="8">
        <v>46162</v>
      </c>
      <c r="C418" s="5" t="s">
        <v>977</v>
      </c>
      <c r="D418" s="5" t="s">
        <v>968</v>
      </c>
      <c r="E418" s="5" t="s">
        <v>982</v>
      </c>
      <c r="F418" s="5" t="s">
        <v>7</v>
      </c>
      <c r="G418" s="5">
        <v>1</v>
      </c>
      <c r="H418" s="5" t="s">
        <v>963</v>
      </c>
      <c r="I418" s="13">
        <v>779062493</v>
      </c>
      <c r="J418" s="10" t="s">
        <v>1401</v>
      </c>
      <c r="K418" t="str">
        <f>LEFT(C418,FIND(" ",C418)-1)&amp;"-"&amp;E418&amp;" "&amp;"Filialina çardırılma"</f>
        <v>Elnur-Baki Filialina çardırılma</v>
      </c>
      <c r="L418">
        <f>VLOOKUP(D418,Anbar!$A$2:$B$5,2,FALSE)</f>
        <v>400</v>
      </c>
      <c r="M418">
        <f>VLOOKUP(D418,Anbar!$A$2:$C$5,3,FALSE)</f>
        <v>650</v>
      </c>
      <c r="N418">
        <f t="shared" si="12"/>
        <v>650</v>
      </c>
      <c r="O418">
        <f t="shared" si="13"/>
        <v>250</v>
      </c>
      <c r="P418" t="str">
        <f>IF(AND(F418="Nağd",G418&gt;5),M418*0.9,"0%")</f>
        <v>0%</v>
      </c>
      <c r="Q418" s="9" t="str">
        <f>IF(F418="Kredit",EOMONTH(B418,0),"")</f>
        <v/>
      </c>
      <c r="R418" s="17" t="str">
        <f>TEXT(B418,"dddd")</f>
        <v>Wednesday</v>
      </c>
    </row>
    <row r="419" spans="1:18">
      <c r="A419" s="5" t="s">
        <v>426</v>
      </c>
      <c r="B419" s="8">
        <v>46169</v>
      </c>
      <c r="C419" s="5" t="s">
        <v>974</v>
      </c>
      <c r="D419" s="5" t="s">
        <v>971</v>
      </c>
      <c r="E419" s="5" t="s">
        <v>980</v>
      </c>
      <c r="F419" s="5" t="s">
        <v>4</v>
      </c>
      <c r="G419" s="5">
        <v>7</v>
      </c>
      <c r="H419" s="5" t="s">
        <v>963</v>
      </c>
      <c r="I419" s="13">
        <v>515681070</v>
      </c>
      <c r="J419" s="10" t="s">
        <v>1402</v>
      </c>
      <c r="K419" t="str">
        <f>LEFT(C419,FIND(" ",C419)-1)&amp;"-"&amp;E419&amp;" "&amp;"Filialina çardırılma"</f>
        <v>Ramil-Sumqayit Filialina çardırılma</v>
      </c>
      <c r="L419">
        <f>VLOOKUP(D419,Anbar!$A$2:$B$5,2,FALSE)</f>
        <v>1200</v>
      </c>
      <c r="M419">
        <f>VLOOKUP(D419,Anbar!$A$2:$C$5,3,FALSE)</f>
        <v>1800</v>
      </c>
      <c r="N419">
        <f t="shared" si="12"/>
        <v>12600</v>
      </c>
      <c r="O419">
        <f t="shared" si="13"/>
        <v>4200</v>
      </c>
      <c r="P419" t="str">
        <f>IF(AND(F419="Nağd",G419&gt;5),M419*0.9,"0%")</f>
        <v>0%</v>
      </c>
      <c r="Q419" s="9">
        <f>IF(F419="Kredit",EOMONTH(B419,0),"")</f>
        <v>46173</v>
      </c>
      <c r="R419" s="17" t="str">
        <f>TEXT(B419,"dddd")</f>
        <v>Wednesday</v>
      </c>
    </row>
    <row r="420" spans="1:18">
      <c r="A420" s="5" t="s">
        <v>427</v>
      </c>
      <c r="B420" s="8">
        <v>46160</v>
      </c>
      <c r="C420" s="5" t="s">
        <v>967</v>
      </c>
      <c r="D420" s="5" t="s">
        <v>15</v>
      </c>
      <c r="E420" s="5" t="s">
        <v>982</v>
      </c>
      <c r="F420" s="5" t="s">
        <v>4</v>
      </c>
      <c r="G420" s="5">
        <v>9</v>
      </c>
      <c r="H420" s="5" t="s">
        <v>963</v>
      </c>
      <c r="I420" s="13">
        <v>552746243</v>
      </c>
      <c r="J420" s="10" t="s">
        <v>1403</v>
      </c>
      <c r="K420" t="str">
        <f>LEFT(C420,FIND(" ",C420)-1)&amp;"-"&amp;E420&amp;" "&amp;"Filialina çardırılma"</f>
        <v>Aysel-Baki Filialina çardırılma</v>
      </c>
      <c r="L420">
        <f>VLOOKUP(D420,Anbar!$A$2:$B$5,2,FALSE)</f>
        <v>600</v>
      </c>
      <c r="M420">
        <f>VLOOKUP(D420,Anbar!$A$2:$C$5,3,FALSE)</f>
        <v>950</v>
      </c>
      <c r="N420">
        <f t="shared" si="12"/>
        <v>8550</v>
      </c>
      <c r="O420">
        <f t="shared" si="13"/>
        <v>3150</v>
      </c>
      <c r="P420" t="str">
        <f>IF(AND(F420="Nağd",G420&gt;5),M420*0.9,"0%")</f>
        <v>0%</v>
      </c>
      <c r="Q420" s="9">
        <f>IF(F420="Kredit",EOMONTH(B420,0),"")</f>
        <v>46173</v>
      </c>
      <c r="R420" s="17" t="str">
        <f>TEXT(B420,"dddd")</f>
        <v>Monday</v>
      </c>
    </row>
    <row r="421" spans="1:18">
      <c r="A421" s="5" t="s">
        <v>428</v>
      </c>
      <c r="B421" s="8">
        <v>46143</v>
      </c>
      <c r="C421" s="5" t="s">
        <v>977</v>
      </c>
      <c r="D421" s="5" t="s">
        <v>968</v>
      </c>
      <c r="E421" s="5" t="s">
        <v>983</v>
      </c>
      <c r="F421" s="5" t="s">
        <v>983</v>
      </c>
      <c r="G421" s="5">
        <v>7</v>
      </c>
      <c r="H421" s="5" t="s">
        <v>963</v>
      </c>
      <c r="I421" s="13">
        <v>517751437</v>
      </c>
      <c r="J421" s="10" t="s">
        <v>1404</v>
      </c>
      <c r="K421" t="str">
        <f>LEFT(C421,FIND(" ",C421)-1)&amp;"-"&amp;E421&amp;" "&amp;"Filialina çardırılma"</f>
        <v>Elnur-Naməlum Filialina çardırılma</v>
      </c>
      <c r="L421">
        <f>VLOOKUP(D421,Anbar!$A$2:$B$5,2,FALSE)</f>
        <v>400</v>
      </c>
      <c r="M421">
        <f>VLOOKUP(D421,Anbar!$A$2:$C$5,3,FALSE)</f>
        <v>650</v>
      </c>
      <c r="N421">
        <f t="shared" si="12"/>
        <v>4550</v>
      </c>
      <c r="O421">
        <f t="shared" si="13"/>
        <v>1750</v>
      </c>
      <c r="P421" t="str">
        <f>IF(AND(F421="Nağd",G421&gt;5),M421*0.9,"0%")</f>
        <v>0%</v>
      </c>
      <c r="Q421" s="9" t="str">
        <f>IF(F421="Kredit",EOMONTH(B421,0),"")</f>
        <v/>
      </c>
      <c r="R421" s="17" t="str">
        <f>TEXT(B421,"dddd")</f>
        <v>Friday</v>
      </c>
    </row>
    <row r="422" spans="1:18">
      <c r="A422" s="5" t="s">
        <v>429</v>
      </c>
      <c r="B422" s="8">
        <v>46135</v>
      </c>
      <c r="C422" s="5" t="s">
        <v>974</v>
      </c>
      <c r="D422" s="5" t="s">
        <v>20</v>
      </c>
      <c r="E422" s="5" t="s">
        <v>964</v>
      </c>
      <c r="F422" s="5" t="s">
        <v>4</v>
      </c>
      <c r="G422" s="5">
        <v>6</v>
      </c>
      <c r="H422" s="5" t="s">
        <v>963</v>
      </c>
      <c r="I422" s="13">
        <v>772920534</v>
      </c>
      <c r="J422" s="10" t="s">
        <v>1405</v>
      </c>
      <c r="K422" t="str">
        <f>LEFT(C422,FIND(" ",C422)-1)&amp;"-"&amp;E422&amp;" "&amp;"Filialina çardırılma"</f>
        <v>Ramil-Sumqayıt Filialina çardırılma</v>
      </c>
      <c r="L422">
        <f>VLOOKUP(D422,Anbar!$A$2:$B$5,2,FALSE)</f>
        <v>15</v>
      </c>
      <c r="M422">
        <f>VLOOKUP(D422,Anbar!$A$2:$C$5,3,FALSE)</f>
        <v>45</v>
      </c>
      <c r="N422">
        <f t="shared" si="12"/>
        <v>270</v>
      </c>
      <c r="O422">
        <f t="shared" si="13"/>
        <v>180</v>
      </c>
      <c r="P422" t="str">
        <f>IF(AND(F422="Nağd",G422&gt;5),M422*0.9,"0%")</f>
        <v>0%</v>
      </c>
      <c r="Q422" s="9">
        <f>IF(F422="Kredit",EOMONTH(B422,0),"")</f>
        <v>46142</v>
      </c>
      <c r="R422" s="17" t="str">
        <f>TEXT(B422,"dddd")</f>
        <v>Thursday</v>
      </c>
    </row>
    <row r="423" spans="1:18">
      <c r="A423" s="5" t="s">
        <v>430</v>
      </c>
      <c r="B423" s="8">
        <v>46090</v>
      </c>
      <c r="C423" s="5" t="s">
        <v>967</v>
      </c>
      <c r="D423" s="5" t="s">
        <v>971</v>
      </c>
      <c r="E423" s="5" t="s">
        <v>980</v>
      </c>
      <c r="F423" s="5" t="s">
        <v>4</v>
      </c>
      <c r="G423" s="5">
        <v>1</v>
      </c>
      <c r="H423" s="5" t="s">
        <v>963</v>
      </c>
      <c r="I423" s="13">
        <v>558752144</v>
      </c>
      <c r="J423" s="10" t="s">
        <v>1406</v>
      </c>
      <c r="K423" t="str">
        <f>LEFT(C423,FIND(" ",C423)-1)&amp;"-"&amp;E423&amp;" "&amp;"Filialina çardırılma"</f>
        <v>Aysel-Sumqayit Filialina çardırılma</v>
      </c>
      <c r="L423">
        <f>VLOOKUP(D423,Anbar!$A$2:$B$5,2,FALSE)</f>
        <v>1200</v>
      </c>
      <c r="M423">
        <f>VLOOKUP(D423,Anbar!$A$2:$C$5,3,FALSE)</f>
        <v>1800</v>
      </c>
      <c r="N423">
        <f t="shared" si="12"/>
        <v>1800</v>
      </c>
      <c r="O423">
        <f t="shared" si="13"/>
        <v>600</v>
      </c>
      <c r="P423" t="str">
        <f>IF(AND(F423="Nağd",G423&gt;5),M423*0.9,"0%")</f>
        <v>0%</v>
      </c>
      <c r="Q423" s="9">
        <f>IF(F423="Kredit",EOMONTH(B423,0),"")</f>
        <v>46112</v>
      </c>
      <c r="R423" s="17" t="str">
        <f>TEXT(B423,"dddd")</f>
        <v>Monday</v>
      </c>
    </row>
    <row r="424" spans="1:18">
      <c r="A424" s="5" t="s">
        <v>431</v>
      </c>
      <c r="B424" s="8">
        <v>46037</v>
      </c>
      <c r="C424" s="5" t="s">
        <v>975</v>
      </c>
      <c r="D424" s="5" t="s">
        <v>15</v>
      </c>
      <c r="E424" s="5" t="s">
        <v>981</v>
      </c>
      <c r="F424" s="5" t="s">
        <v>7</v>
      </c>
      <c r="G424" s="5">
        <v>7</v>
      </c>
      <c r="H424" s="5" t="s">
        <v>963</v>
      </c>
      <c r="I424" s="13">
        <v>550727123</v>
      </c>
      <c r="J424" s="10" t="s">
        <v>1407</v>
      </c>
      <c r="K424" t="str">
        <f>LEFT(C424,FIND(" ",C424)-1)&amp;"-"&amp;E424&amp;" "&amp;"Filialina çardırılma"</f>
        <v>Murad-Gəncə Filialina çardırılma</v>
      </c>
      <c r="L424">
        <f>VLOOKUP(D424,Anbar!$A$2:$B$5,2,FALSE)</f>
        <v>600</v>
      </c>
      <c r="M424">
        <f>VLOOKUP(D424,Anbar!$A$2:$C$5,3,FALSE)</f>
        <v>950</v>
      </c>
      <c r="N424">
        <f t="shared" si="12"/>
        <v>6650</v>
      </c>
      <c r="O424">
        <f t="shared" si="13"/>
        <v>2450</v>
      </c>
      <c r="P424" t="str">
        <f>IF(AND(F424="Nağd",G424&gt;5),M424*0.9,"0%")</f>
        <v>0%</v>
      </c>
      <c r="Q424" s="9" t="str">
        <f>IF(F424="Kredit",EOMONTH(B424,0),"")</f>
        <v/>
      </c>
      <c r="R424" s="17" t="str">
        <f>TEXT(B424,"dddd")</f>
        <v>Thursday</v>
      </c>
    </row>
    <row r="425" spans="1:18">
      <c r="A425" s="5" t="s">
        <v>432</v>
      </c>
      <c r="B425" s="8">
        <v>46148</v>
      </c>
      <c r="C425" s="5" t="s">
        <v>975</v>
      </c>
      <c r="D425" s="5" t="s">
        <v>20</v>
      </c>
      <c r="E425" s="5" t="s">
        <v>966</v>
      </c>
      <c r="F425" s="5" t="s">
        <v>965</v>
      </c>
      <c r="G425" s="5">
        <v>8</v>
      </c>
      <c r="H425" s="5" t="s">
        <v>963</v>
      </c>
      <c r="I425" s="13">
        <v>501745130</v>
      </c>
      <c r="J425" s="10" t="s">
        <v>1408</v>
      </c>
      <c r="K425" t="str">
        <f>LEFT(C425,FIND(" ",C425)-1)&amp;"-"&amp;E425&amp;" "&amp;"Filialina çardırılma"</f>
        <v>Murad-Bakı Filialina çardırılma</v>
      </c>
      <c r="L425">
        <f>VLOOKUP(D425,Anbar!$A$2:$B$5,2,FALSE)</f>
        <v>15</v>
      </c>
      <c r="M425">
        <f>VLOOKUP(D425,Anbar!$A$2:$C$5,3,FALSE)</f>
        <v>45</v>
      </c>
      <c r="N425">
        <f t="shared" si="12"/>
        <v>360</v>
      </c>
      <c r="O425">
        <f t="shared" si="13"/>
        <v>240</v>
      </c>
      <c r="P425">
        <f>IF(AND(F425="Nağd",G425&gt;5),M425*0.9,"0%")</f>
        <v>40.5</v>
      </c>
      <c r="Q425" s="9" t="str">
        <f>IF(F425="Kredit",EOMONTH(B425,0),"")</f>
        <v/>
      </c>
      <c r="R425" s="17" t="str">
        <f>TEXT(B425,"dddd")</f>
        <v>Wednesday</v>
      </c>
    </row>
    <row r="426" spans="1:18">
      <c r="A426" s="5" t="s">
        <v>433</v>
      </c>
      <c r="B426" s="8">
        <v>46113</v>
      </c>
      <c r="C426" s="5" t="s">
        <v>6</v>
      </c>
      <c r="D426" s="5" t="s">
        <v>971</v>
      </c>
      <c r="E426" s="5" t="s">
        <v>9</v>
      </c>
      <c r="F426" s="5" t="s">
        <v>965</v>
      </c>
      <c r="G426" s="5">
        <v>6</v>
      </c>
      <c r="H426" s="5" t="s">
        <v>963</v>
      </c>
      <c r="I426" s="13">
        <v>515654308</v>
      </c>
      <c r="J426" s="10" t="s">
        <v>1409</v>
      </c>
      <c r="K426" t="str">
        <f>LEFT(C426,FIND(" ",C426)-1)&amp;"-"&amp;E426&amp;" "&amp;"Filialina çardırılma"</f>
        <v>Zaur-Gence Filialina çardırılma</v>
      </c>
      <c r="L426">
        <f>VLOOKUP(D426,Anbar!$A$2:$B$5,2,FALSE)</f>
        <v>1200</v>
      </c>
      <c r="M426">
        <f>VLOOKUP(D426,Anbar!$A$2:$C$5,3,FALSE)</f>
        <v>1800</v>
      </c>
      <c r="N426">
        <f t="shared" si="12"/>
        <v>10800</v>
      </c>
      <c r="O426">
        <f t="shared" si="13"/>
        <v>3600</v>
      </c>
      <c r="P426">
        <f>IF(AND(F426="Nağd",G426&gt;5),M426*0.9,"0%")</f>
        <v>1620</v>
      </c>
      <c r="Q426" s="9" t="str">
        <f>IF(F426="Kredit",EOMONTH(B426,0),"")</f>
        <v/>
      </c>
      <c r="R426" s="17" t="str">
        <f>TEXT(B426,"dddd")</f>
        <v>Wednesday</v>
      </c>
    </row>
    <row r="427" spans="1:18">
      <c r="A427" s="5" t="s">
        <v>434</v>
      </c>
      <c r="B427" s="8">
        <v>46039</v>
      </c>
      <c r="C427" s="5" t="s">
        <v>975</v>
      </c>
      <c r="D427" s="5" t="s">
        <v>968</v>
      </c>
      <c r="E427" s="5" t="s">
        <v>982</v>
      </c>
      <c r="F427" s="5" t="s">
        <v>965</v>
      </c>
      <c r="G427" s="5">
        <v>9</v>
      </c>
      <c r="H427" s="5" t="s">
        <v>963</v>
      </c>
      <c r="I427" s="13">
        <v>500406301</v>
      </c>
      <c r="J427" s="10" t="s">
        <v>1410</v>
      </c>
      <c r="K427" t="str">
        <f>LEFT(C427,FIND(" ",C427)-1)&amp;"-"&amp;E427&amp;" "&amp;"Filialina çardırılma"</f>
        <v>Murad-Baki Filialina çardırılma</v>
      </c>
      <c r="L427">
        <f>VLOOKUP(D427,Anbar!$A$2:$B$5,2,FALSE)</f>
        <v>400</v>
      </c>
      <c r="M427">
        <f>VLOOKUP(D427,Anbar!$A$2:$C$5,3,FALSE)</f>
        <v>650</v>
      </c>
      <c r="N427">
        <f t="shared" si="12"/>
        <v>5850</v>
      </c>
      <c r="O427">
        <f t="shared" si="13"/>
        <v>2250</v>
      </c>
      <c r="P427">
        <f>IF(AND(F427="Nağd",G427&gt;5),M427*0.9,"0%")</f>
        <v>585</v>
      </c>
      <c r="Q427" s="9" t="str">
        <f>IF(F427="Kredit",EOMONTH(B427,0),"")</f>
        <v/>
      </c>
      <c r="R427" s="17" t="str">
        <f>TEXT(B427,"dddd")</f>
        <v>Saturday</v>
      </c>
    </row>
    <row r="428" spans="1:18">
      <c r="A428" s="5" t="s">
        <v>435</v>
      </c>
      <c r="B428" s="8">
        <v>46065</v>
      </c>
      <c r="C428" s="5" t="s">
        <v>975</v>
      </c>
      <c r="D428" s="5" t="s">
        <v>15</v>
      </c>
      <c r="E428" s="5" t="s">
        <v>966</v>
      </c>
      <c r="F428" s="5" t="s">
        <v>4</v>
      </c>
      <c r="G428" s="5">
        <v>7</v>
      </c>
      <c r="H428" s="5" t="s">
        <v>963</v>
      </c>
      <c r="I428" s="13">
        <v>777694188</v>
      </c>
      <c r="J428" s="10" t="s">
        <v>1411</v>
      </c>
      <c r="K428" t="str">
        <f>LEFT(C428,FIND(" ",C428)-1)&amp;"-"&amp;E428&amp;" "&amp;"Filialina çardırılma"</f>
        <v>Murad-Bakı Filialina çardırılma</v>
      </c>
      <c r="L428">
        <f>VLOOKUP(D428,Anbar!$A$2:$B$5,2,FALSE)</f>
        <v>600</v>
      </c>
      <c r="M428">
        <f>VLOOKUP(D428,Anbar!$A$2:$C$5,3,FALSE)</f>
        <v>950</v>
      </c>
      <c r="N428">
        <f t="shared" si="12"/>
        <v>6650</v>
      </c>
      <c r="O428">
        <f t="shared" si="13"/>
        <v>2450</v>
      </c>
      <c r="P428" t="str">
        <f>IF(AND(F428="Nağd",G428&gt;5),M428*0.9,"0%")</f>
        <v>0%</v>
      </c>
      <c r="Q428" s="9">
        <f>IF(F428="Kredit",EOMONTH(B428,0),"")</f>
        <v>46081</v>
      </c>
      <c r="R428" s="17" t="str">
        <f>TEXT(B428,"dddd")</f>
        <v>Thursday</v>
      </c>
    </row>
    <row r="429" spans="1:18">
      <c r="A429" s="5" t="s">
        <v>436</v>
      </c>
      <c r="B429" s="8">
        <v>46080</v>
      </c>
      <c r="C429" s="5" t="s">
        <v>967</v>
      </c>
      <c r="D429" s="5" t="s">
        <v>971</v>
      </c>
      <c r="E429" s="5" t="s">
        <v>981</v>
      </c>
      <c r="F429" s="5" t="s">
        <v>965</v>
      </c>
      <c r="G429" s="5">
        <v>9</v>
      </c>
      <c r="H429" s="5" t="s">
        <v>963</v>
      </c>
      <c r="I429" s="13">
        <v>703207549</v>
      </c>
      <c r="J429" s="10" t="s">
        <v>1412</v>
      </c>
      <c r="K429" t="str">
        <f>LEFT(C429,FIND(" ",C429)-1)&amp;"-"&amp;E429&amp;" "&amp;"Filialina çardırılma"</f>
        <v>Aysel-Gəncə Filialina çardırılma</v>
      </c>
      <c r="L429">
        <f>VLOOKUP(D429,Anbar!$A$2:$B$5,2,FALSE)</f>
        <v>1200</v>
      </c>
      <c r="M429">
        <f>VLOOKUP(D429,Anbar!$A$2:$C$5,3,FALSE)</f>
        <v>1800</v>
      </c>
      <c r="N429">
        <f t="shared" si="12"/>
        <v>16200</v>
      </c>
      <c r="O429">
        <f t="shared" si="13"/>
        <v>5400</v>
      </c>
      <c r="P429">
        <f>IF(AND(F429="Nağd",G429&gt;5),M429*0.9,"0%")</f>
        <v>1620</v>
      </c>
      <c r="Q429" s="9" t="str">
        <f>IF(F429="Kredit",EOMONTH(B429,0),"")</f>
        <v/>
      </c>
      <c r="R429" s="17" t="str">
        <f>TEXT(B429,"dddd")</f>
        <v>Friday</v>
      </c>
    </row>
    <row r="430" spans="1:18">
      <c r="A430" s="5" t="s">
        <v>437</v>
      </c>
      <c r="B430" s="8">
        <v>46121</v>
      </c>
      <c r="C430" s="5" t="s">
        <v>974</v>
      </c>
      <c r="D430" s="5" t="s">
        <v>15</v>
      </c>
      <c r="E430" s="5" t="s">
        <v>981</v>
      </c>
      <c r="F430" s="5" t="s">
        <v>965</v>
      </c>
      <c r="G430" s="5">
        <v>10</v>
      </c>
      <c r="H430" s="5" t="s">
        <v>963</v>
      </c>
      <c r="I430" s="13">
        <v>703424734</v>
      </c>
      <c r="J430" s="10" t="s">
        <v>1413</v>
      </c>
      <c r="K430" t="str">
        <f>LEFT(C430,FIND(" ",C430)-1)&amp;"-"&amp;E430&amp;" "&amp;"Filialina çardırılma"</f>
        <v>Ramil-Gəncə Filialina çardırılma</v>
      </c>
      <c r="L430">
        <f>VLOOKUP(D430,Anbar!$A$2:$B$5,2,FALSE)</f>
        <v>600</v>
      </c>
      <c r="M430">
        <f>VLOOKUP(D430,Anbar!$A$2:$C$5,3,FALSE)</f>
        <v>950</v>
      </c>
      <c r="N430">
        <f t="shared" si="12"/>
        <v>9500</v>
      </c>
      <c r="O430">
        <f t="shared" si="13"/>
        <v>3500</v>
      </c>
      <c r="P430">
        <f>IF(AND(F430="Nağd",G430&gt;5),M430*0.9,"0%")</f>
        <v>855</v>
      </c>
      <c r="Q430" s="9" t="str">
        <f>IF(F430="Kredit",EOMONTH(B430,0),"")</f>
        <v/>
      </c>
      <c r="R430" s="17" t="str">
        <f>TEXT(B430,"dddd")</f>
        <v>Thursday</v>
      </c>
    </row>
    <row r="431" spans="1:18">
      <c r="A431" s="5" t="s">
        <v>438</v>
      </c>
      <c r="B431" s="8">
        <v>46058</v>
      </c>
      <c r="C431" s="5" t="s">
        <v>967</v>
      </c>
      <c r="D431" s="5" t="s">
        <v>20</v>
      </c>
      <c r="E431" s="5" t="s">
        <v>981</v>
      </c>
      <c r="F431" s="5" t="s">
        <v>965</v>
      </c>
      <c r="G431" s="5">
        <v>4</v>
      </c>
      <c r="H431" s="5" t="s">
        <v>963</v>
      </c>
      <c r="I431" s="13">
        <v>506502429</v>
      </c>
      <c r="J431" s="10" t="s">
        <v>1414</v>
      </c>
      <c r="K431" t="str">
        <f>LEFT(C431,FIND(" ",C431)-1)&amp;"-"&amp;E431&amp;" "&amp;"Filialina çardırılma"</f>
        <v>Aysel-Gəncə Filialina çardırılma</v>
      </c>
      <c r="L431">
        <f>VLOOKUP(D431,Anbar!$A$2:$B$5,2,FALSE)</f>
        <v>15</v>
      </c>
      <c r="M431">
        <f>VLOOKUP(D431,Anbar!$A$2:$C$5,3,FALSE)</f>
        <v>45</v>
      </c>
      <c r="N431">
        <f t="shared" si="12"/>
        <v>180</v>
      </c>
      <c r="O431">
        <f t="shared" si="13"/>
        <v>120</v>
      </c>
      <c r="P431" t="str">
        <f>IF(AND(F431="Nağd",G431&gt;5),M431*0.9,"0%")</f>
        <v>0%</v>
      </c>
      <c r="Q431" s="9" t="str">
        <f>IF(F431="Kredit",EOMONTH(B431,0),"")</f>
        <v/>
      </c>
      <c r="R431" s="17" t="str">
        <f>TEXT(B431,"dddd")</f>
        <v>Thursday</v>
      </c>
    </row>
    <row r="432" spans="1:18">
      <c r="A432" s="5" t="s">
        <v>439</v>
      </c>
      <c r="B432" s="8">
        <v>46118</v>
      </c>
      <c r="C432" s="5" t="s">
        <v>975</v>
      </c>
      <c r="D432" s="5" t="s">
        <v>968</v>
      </c>
      <c r="E432" s="5" t="s">
        <v>966</v>
      </c>
      <c r="F432" s="5" t="s">
        <v>965</v>
      </c>
      <c r="G432" s="5">
        <v>8</v>
      </c>
      <c r="H432" s="5" t="s">
        <v>963</v>
      </c>
      <c r="I432" s="13">
        <v>550844694</v>
      </c>
      <c r="J432" s="10" t="s">
        <v>1415</v>
      </c>
      <c r="K432" t="str">
        <f>LEFT(C432,FIND(" ",C432)-1)&amp;"-"&amp;E432&amp;" "&amp;"Filialina çardırılma"</f>
        <v>Murad-Bakı Filialina çardırılma</v>
      </c>
      <c r="L432">
        <f>VLOOKUP(D432,Anbar!$A$2:$B$5,2,FALSE)</f>
        <v>400</v>
      </c>
      <c r="M432">
        <f>VLOOKUP(D432,Anbar!$A$2:$C$5,3,FALSE)</f>
        <v>650</v>
      </c>
      <c r="N432">
        <f t="shared" si="12"/>
        <v>5200</v>
      </c>
      <c r="O432">
        <f t="shared" si="13"/>
        <v>2000</v>
      </c>
      <c r="P432">
        <f>IF(AND(F432="Nağd",G432&gt;5),M432*0.9,"0%")</f>
        <v>585</v>
      </c>
      <c r="Q432" s="9" t="str">
        <f>IF(F432="Kredit",EOMONTH(B432,0),"")</f>
        <v/>
      </c>
      <c r="R432" s="17" t="str">
        <f>TEXT(B432,"dddd")</f>
        <v>Monday</v>
      </c>
    </row>
    <row r="433" spans="1:18">
      <c r="A433" s="5" t="s">
        <v>440</v>
      </c>
      <c r="B433" s="8">
        <v>46175</v>
      </c>
      <c r="C433" s="5" t="s">
        <v>976</v>
      </c>
      <c r="D433" s="5" t="s">
        <v>20</v>
      </c>
      <c r="E433" s="5" t="s">
        <v>981</v>
      </c>
      <c r="F433" s="5" t="s">
        <v>965</v>
      </c>
      <c r="G433" s="5">
        <v>3</v>
      </c>
      <c r="H433" s="5" t="s">
        <v>963</v>
      </c>
      <c r="I433" s="13">
        <v>506151039</v>
      </c>
      <c r="J433" s="10" t="s">
        <v>1416</v>
      </c>
      <c r="K433" t="str">
        <f>LEFT(C433,FIND(" ",C433)-1)&amp;"-"&amp;E433&amp;" "&amp;"Filialina çardırılma"</f>
        <v>Nərgin-Gəncə Filialina çardırılma</v>
      </c>
      <c r="L433">
        <f>VLOOKUP(D433,Anbar!$A$2:$B$5,2,FALSE)</f>
        <v>15</v>
      </c>
      <c r="M433">
        <f>VLOOKUP(D433,Anbar!$A$2:$C$5,3,FALSE)</f>
        <v>45</v>
      </c>
      <c r="N433">
        <f t="shared" si="12"/>
        <v>135</v>
      </c>
      <c r="O433">
        <f t="shared" si="13"/>
        <v>90</v>
      </c>
      <c r="P433" t="str">
        <f>IF(AND(F433="Nağd",G433&gt;5),M433*0.9,"0%")</f>
        <v>0%</v>
      </c>
      <c r="Q433" s="9" t="str">
        <f>IF(F433="Kredit",EOMONTH(B433,0),"")</f>
        <v/>
      </c>
      <c r="R433" s="17" t="str">
        <f>TEXT(B433,"dddd")</f>
        <v>Tuesday</v>
      </c>
    </row>
    <row r="434" spans="1:18">
      <c r="A434" s="5" t="s">
        <v>441</v>
      </c>
      <c r="B434" s="8">
        <v>46048</v>
      </c>
      <c r="C434" s="5" t="s">
        <v>6</v>
      </c>
      <c r="D434" s="5" t="s">
        <v>971</v>
      </c>
      <c r="E434" s="5" t="s">
        <v>982</v>
      </c>
      <c r="F434" s="5" t="s">
        <v>7</v>
      </c>
      <c r="G434" s="5">
        <v>3</v>
      </c>
      <c r="H434" s="5" t="s">
        <v>963</v>
      </c>
      <c r="I434" s="13">
        <v>506746971</v>
      </c>
      <c r="J434" s="10" t="s">
        <v>1417</v>
      </c>
      <c r="K434" t="str">
        <f>LEFT(C434,FIND(" ",C434)-1)&amp;"-"&amp;E434&amp;" "&amp;"Filialina çardırılma"</f>
        <v>Zaur-Baki Filialina çardırılma</v>
      </c>
      <c r="L434">
        <f>VLOOKUP(D434,Anbar!$A$2:$B$5,2,FALSE)</f>
        <v>1200</v>
      </c>
      <c r="M434">
        <f>VLOOKUP(D434,Anbar!$A$2:$C$5,3,FALSE)</f>
        <v>1800</v>
      </c>
      <c r="N434">
        <f t="shared" si="12"/>
        <v>5400</v>
      </c>
      <c r="O434">
        <f t="shared" si="13"/>
        <v>1800</v>
      </c>
      <c r="P434" t="str">
        <f>IF(AND(F434="Nağd",G434&gt;5),M434*0.9,"0%")</f>
        <v>0%</v>
      </c>
      <c r="Q434" s="9" t="str">
        <f>IF(F434="Kredit",EOMONTH(B434,0),"")</f>
        <v/>
      </c>
      <c r="R434" s="17" t="str">
        <f>TEXT(B434,"dddd")</f>
        <v>Monday</v>
      </c>
    </row>
    <row r="435" spans="1:18">
      <c r="A435" s="5" t="s">
        <v>442</v>
      </c>
      <c r="B435" s="8">
        <v>46145</v>
      </c>
      <c r="C435" s="5" t="s">
        <v>979</v>
      </c>
      <c r="D435" s="5" t="s">
        <v>20</v>
      </c>
      <c r="E435" s="5" t="s">
        <v>982</v>
      </c>
      <c r="F435" s="5" t="s">
        <v>4</v>
      </c>
      <c r="G435" s="5">
        <v>9</v>
      </c>
      <c r="H435" s="5" t="s">
        <v>963</v>
      </c>
      <c r="I435" s="13">
        <v>513943194</v>
      </c>
      <c r="J435" s="10" t="s">
        <v>1418</v>
      </c>
      <c r="K435" t="str">
        <f>LEFT(C435,FIND(" ",C435)-1)&amp;"-"&amp;E435&amp;" "&amp;"Filialina çardırılma"</f>
        <v>Leyla-Baki Filialina çardırılma</v>
      </c>
      <c r="L435">
        <f>VLOOKUP(D435,Anbar!$A$2:$B$5,2,FALSE)</f>
        <v>15</v>
      </c>
      <c r="M435">
        <f>VLOOKUP(D435,Anbar!$A$2:$C$5,3,FALSE)</f>
        <v>45</v>
      </c>
      <c r="N435">
        <f t="shared" si="12"/>
        <v>405</v>
      </c>
      <c r="O435">
        <f t="shared" si="13"/>
        <v>270</v>
      </c>
      <c r="P435" t="str">
        <f>IF(AND(F435="Nağd",G435&gt;5),M435*0.9,"0%")</f>
        <v>0%</v>
      </c>
      <c r="Q435" s="9">
        <f>IF(F435="Kredit",EOMONTH(B435,0),"")</f>
        <v>46173</v>
      </c>
      <c r="R435" s="17" t="str">
        <f>TEXT(B435,"dddd")</f>
        <v>Sunday</v>
      </c>
    </row>
    <row r="436" spans="1:18">
      <c r="A436" s="5" t="s">
        <v>443</v>
      </c>
      <c r="B436" s="8">
        <v>46120</v>
      </c>
      <c r="C436" s="5" t="s">
        <v>967</v>
      </c>
      <c r="D436" s="5" t="s">
        <v>971</v>
      </c>
      <c r="E436" s="5" t="s">
        <v>981</v>
      </c>
      <c r="F436" s="5" t="s">
        <v>4</v>
      </c>
      <c r="G436" s="5">
        <v>10</v>
      </c>
      <c r="H436" s="5" t="s">
        <v>963</v>
      </c>
      <c r="I436" s="13">
        <v>771374058</v>
      </c>
      <c r="J436" s="10" t="s">
        <v>1419</v>
      </c>
      <c r="K436" t="str">
        <f>LEFT(C436,FIND(" ",C436)-1)&amp;"-"&amp;E436&amp;" "&amp;"Filialina çardırılma"</f>
        <v>Aysel-Gəncə Filialina çardırılma</v>
      </c>
      <c r="L436">
        <f>VLOOKUP(D436,Anbar!$A$2:$B$5,2,FALSE)</f>
        <v>1200</v>
      </c>
      <c r="M436">
        <f>VLOOKUP(D436,Anbar!$A$2:$C$5,3,FALSE)</f>
        <v>1800</v>
      </c>
      <c r="N436">
        <f t="shared" si="12"/>
        <v>18000</v>
      </c>
      <c r="O436">
        <f t="shared" si="13"/>
        <v>6000</v>
      </c>
      <c r="P436" t="str">
        <f>IF(AND(F436="Nağd",G436&gt;5),M436*0.9,"0%")</f>
        <v>0%</v>
      </c>
      <c r="Q436" s="9">
        <f>IF(F436="Kredit",EOMONTH(B436,0),"")</f>
        <v>46142</v>
      </c>
      <c r="R436" s="17" t="str">
        <f>TEXT(B436,"dddd")</f>
        <v>Wednesday</v>
      </c>
    </row>
    <row r="437" spans="1:18">
      <c r="A437" s="5" t="s">
        <v>444</v>
      </c>
      <c r="B437" s="8">
        <v>46064</v>
      </c>
      <c r="C437" s="5" t="s">
        <v>975</v>
      </c>
      <c r="D437" s="5" t="s">
        <v>968</v>
      </c>
      <c r="E437" s="5" t="s">
        <v>964</v>
      </c>
      <c r="F437" s="5" t="s">
        <v>965</v>
      </c>
      <c r="G437" s="5">
        <v>1</v>
      </c>
      <c r="H437" s="5" t="s">
        <v>963</v>
      </c>
      <c r="I437" s="13">
        <v>559389784</v>
      </c>
      <c r="J437" s="10" t="s">
        <v>1420</v>
      </c>
      <c r="K437" t="str">
        <f>LEFT(C437,FIND(" ",C437)-1)&amp;"-"&amp;E437&amp;" "&amp;"Filialina çardırılma"</f>
        <v>Murad-Sumqayıt Filialina çardırılma</v>
      </c>
      <c r="L437">
        <f>VLOOKUP(D437,Anbar!$A$2:$B$5,2,FALSE)</f>
        <v>400</v>
      </c>
      <c r="M437">
        <f>VLOOKUP(D437,Anbar!$A$2:$C$5,3,FALSE)</f>
        <v>650</v>
      </c>
      <c r="N437">
        <f t="shared" si="12"/>
        <v>650</v>
      </c>
      <c r="O437">
        <f t="shared" si="13"/>
        <v>250</v>
      </c>
      <c r="P437" t="str">
        <f>IF(AND(F437="Nağd",G437&gt;5),M437*0.9,"0%")</f>
        <v>0%</v>
      </c>
      <c r="Q437" s="9" t="str">
        <f>IF(F437="Kredit",EOMONTH(B437,0),"")</f>
        <v/>
      </c>
      <c r="R437" s="17" t="str">
        <f>TEXT(B437,"dddd")</f>
        <v>Wednesday</v>
      </c>
    </row>
    <row r="438" spans="1:18">
      <c r="A438" s="5" t="s">
        <v>445</v>
      </c>
      <c r="B438" s="8">
        <v>46175</v>
      </c>
      <c r="C438" s="5" t="s">
        <v>975</v>
      </c>
      <c r="D438" s="5" t="s">
        <v>20</v>
      </c>
      <c r="E438" s="5" t="s">
        <v>982</v>
      </c>
      <c r="F438" s="5" t="s">
        <v>4</v>
      </c>
      <c r="G438" s="5">
        <v>4</v>
      </c>
      <c r="H438" s="5" t="s">
        <v>963</v>
      </c>
      <c r="I438" s="13">
        <v>704985094</v>
      </c>
      <c r="J438" s="10" t="s">
        <v>1421</v>
      </c>
      <c r="K438" t="str">
        <f>LEFT(C438,FIND(" ",C438)-1)&amp;"-"&amp;E438&amp;" "&amp;"Filialina çardırılma"</f>
        <v>Murad-Baki Filialina çardırılma</v>
      </c>
      <c r="L438">
        <f>VLOOKUP(D438,Anbar!$A$2:$B$5,2,FALSE)</f>
        <v>15</v>
      </c>
      <c r="M438">
        <f>VLOOKUP(D438,Anbar!$A$2:$C$5,3,FALSE)</f>
        <v>45</v>
      </c>
      <c r="N438">
        <f t="shared" si="12"/>
        <v>180</v>
      </c>
      <c r="O438">
        <f t="shared" si="13"/>
        <v>120</v>
      </c>
      <c r="P438" t="str">
        <f>IF(AND(F438="Nağd",G438&gt;5),M438*0.9,"0%")</f>
        <v>0%</v>
      </c>
      <c r="Q438" s="9">
        <f>IF(F438="Kredit",EOMONTH(B438,0),"")</f>
        <v>46203</v>
      </c>
      <c r="R438" s="17" t="str">
        <f>TEXT(B438,"dddd")</f>
        <v>Tuesday</v>
      </c>
    </row>
    <row r="439" spans="1:18">
      <c r="A439" s="5" t="s">
        <v>446</v>
      </c>
      <c r="B439" s="8">
        <v>46035</v>
      </c>
      <c r="C439" s="5" t="s">
        <v>974</v>
      </c>
      <c r="D439" s="5" t="s">
        <v>20</v>
      </c>
      <c r="E439" s="5" t="s">
        <v>964</v>
      </c>
      <c r="F439" s="5" t="s">
        <v>965</v>
      </c>
      <c r="G439" s="5">
        <v>8</v>
      </c>
      <c r="H439" s="5" t="s">
        <v>963</v>
      </c>
      <c r="I439" s="13">
        <v>511850104</v>
      </c>
      <c r="J439" s="10" t="s">
        <v>1422</v>
      </c>
      <c r="K439" t="str">
        <f>LEFT(C439,FIND(" ",C439)-1)&amp;"-"&amp;E439&amp;" "&amp;"Filialina çardırılma"</f>
        <v>Ramil-Sumqayıt Filialina çardırılma</v>
      </c>
      <c r="L439">
        <f>VLOOKUP(D439,Anbar!$A$2:$B$5,2,FALSE)</f>
        <v>15</v>
      </c>
      <c r="M439">
        <f>VLOOKUP(D439,Anbar!$A$2:$C$5,3,FALSE)</f>
        <v>45</v>
      </c>
      <c r="N439">
        <f t="shared" si="12"/>
        <v>360</v>
      </c>
      <c r="O439">
        <f t="shared" si="13"/>
        <v>240</v>
      </c>
      <c r="P439">
        <f>IF(AND(F439="Nağd",G439&gt;5),M439*0.9,"0%")</f>
        <v>40.5</v>
      </c>
      <c r="Q439" s="9" t="str">
        <f>IF(F439="Kredit",EOMONTH(B439,0),"")</f>
        <v/>
      </c>
      <c r="R439" s="17" t="str">
        <f>TEXT(B439,"dddd")</f>
        <v>Tuesday</v>
      </c>
    </row>
    <row r="440" spans="1:18">
      <c r="A440" s="5" t="s">
        <v>447</v>
      </c>
      <c r="B440" s="8">
        <v>46127</v>
      </c>
      <c r="C440" s="5" t="s">
        <v>978</v>
      </c>
      <c r="D440" s="5" t="s">
        <v>20</v>
      </c>
      <c r="E440" s="5" t="s">
        <v>9</v>
      </c>
      <c r="F440" s="5" t="s">
        <v>4</v>
      </c>
      <c r="G440" s="5">
        <v>10</v>
      </c>
      <c r="H440" s="5" t="s">
        <v>963</v>
      </c>
      <c r="I440" s="13">
        <v>770920532</v>
      </c>
      <c r="J440" s="10" t="s">
        <v>1423</v>
      </c>
      <c r="K440" t="str">
        <f>LEFT(C440,FIND(" ",C440)-1)&amp;"-"&amp;E440&amp;" "&amp;"Filialina çardırılma"</f>
        <v>Əli-Gence Filialina çardırılma</v>
      </c>
      <c r="L440">
        <f>VLOOKUP(D440,Anbar!$A$2:$B$5,2,FALSE)</f>
        <v>15</v>
      </c>
      <c r="M440">
        <f>VLOOKUP(D440,Anbar!$A$2:$C$5,3,FALSE)</f>
        <v>45</v>
      </c>
      <c r="N440">
        <f t="shared" si="12"/>
        <v>450</v>
      </c>
      <c r="O440">
        <f t="shared" si="13"/>
        <v>300</v>
      </c>
      <c r="P440" t="str">
        <f>IF(AND(F440="Nağd",G440&gt;5),M440*0.9,"0%")</f>
        <v>0%</v>
      </c>
      <c r="Q440" s="9">
        <f>IF(F440="Kredit",EOMONTH(B440,0),"")</f>
        <v>46142</v>
      </c>
      <c r="R440" s="17" t="str">
        <f>TEXT(B440,"dddd")</f>
        <v>Wednesday</v>
      </c>
    </row>
    <row r="441" spans="1:18">
      <c r="A441" s="5" t="s">
        <v>448</v>
      </c>
      <c r="B441" s="8">
        <v>46055</v>
      </c>
      <c r="C441" s="5" t="s">
        <v>6</v>
      </c>
      <c r="D441" s="5" t="s">
        <v>15</v>
      </c>
      <c r="E441" s="5" t="s">
        <v>980</v>
      </c>
      <c r="F441" s="5" t="s">
        <v>965</v>
      </c>
      <c r="G441" s="5">
        <v>10</v>
      </c>
      <c r="H441" s="5" t="s">
        <v>963</v>
      </c>
      <c r="I441" s="13">
        <v>500243417</v>
      </c>
      <c r="J441" s="10" t="s">
        <v>1424</v>
      </c>
      <c r="K441" t="str">
        <f>LEFT(C441,FIND(" ",C441)-1)&amp;"-"&amp;E441&amp;" "&amp;"Filialina çardırılma"</f>
        <v>Zaur-Sumqayit Filialina çardırılma</v>
      </c>
      <c r="L441">
        <f>VLOOKUP(D441,Anbar!$A$2:$B$5,2,FALSE)</f>
        <v>600</v>
      </c>
      <c r="M441">
        <f>VLOOKUP(D441,Anbar!$A$2:$C$5,3,FALSE)</f>
        <v>950</v>
      </c>
      <c r="N441">
        <f t="shared" si="12"/>
        <v>9500</v>
      </c>
      <c r="O441">
        <f t="shared" si="13"/>
        <v>3500</v>
      </c>
      <c r="P441">
        <f>IF(AND(F441="Nağd",G441&gt;5),M441*0.9,"0%")</f>
        <v>855</v>
      </c>
      <c r="Q441" s="9" t="str">
        <f>IF(F441="Kredit",EOMONTH(B441,0),"")</f>
        <v/>
      </c>
      <c r="R441" s="17" t="str">
        <f>TEXT(B441,"dddd")</f>
        <v>Monday</v>
      </c>
    </row>
    <row r="442" spans="1:18">
      <c r="A442" s="5" t="s">
        <v>449</v>
      </c>
      <c r="B442" s="8">
        <v>46051</v>
      </c>
      <c r="C442" s="5" t="s">
        <v>974</v>
      </c>
      <c r="D442" s="5" t="s">
        <v>20</v>
      </c>
      <c r="E442" s="5" t="s">
        <v>966</v>
      </c>
      <c r="F442" s="5" t="s">
        <v>965</v>
      </c>
      <c r="G442" s="5">
        <v>9</v>
      </c>
      <c r="H442" s="5" t="s">
        <v>963</v>
      </c>
      <c r="I442" s="13">
        <v>514427394</v>
      </c>
      <c r="J442" s="10" t="s">
        <v>1425</v>
      </c>
      <c r="K442" t="str">
        <f>LEFT(C442,FIND(" ",C442)-1)&amp;"-"&amp;E442&amp;" "&amp;"Filialina çardırılma"</f>
        <v>Ramil-Bakı Filialina çardırılma</v>
      </c>
      <c r="L442">
        <f>VLOOKUP(D442,Anbar!$A$2:$B$5,2,FALSE)</f>
        <v>15</v>
      </c>
      <c r="M442">
        <f>VLOOKUP(D442,Anbar!$A$2:$C$5,3,FALSE)</f>
        <v>45</v>
      </c>
      <c r="N442">
        <f t="shared" si="12"/>
        <v>405</v>
      </c>
      <c r="O442">
        <f t="shared" si="13"/>
        <v>270</v>
      </c>
      <c r="P442">
        <f>IF(AND(F442="Nağd",G442&gt;5),M442*0.9,"0%")</f>
        <v>40.5</v>
      </c>
      <c r="Q442" s="9" t="str">
        <f>IF(F442="Kredit",EOMONTH(B442,0),"")</f>
        <v/>
      </c>
      <c r="R442" s="17" t="str">
        <f>TEXT(B442,"dddd")</f>
        <v>Thursday</v>
      </c>
    </row>
    <row r="443" spans="1:18">
      <c r="A443" s="5" t="s">
        <v>450</v>
      </c>
      <c r="B443" s="8">
        <v>46172</v>
      </c>
      <c r="C443" s="5" t="s">
        <v>6</v>
      </c>
      <c r="D443" s="5" t="s">
        <v>968</v>
      </c>
      <c r="E443" s="5" t="s">
        <v>980</v>
      </c>
      <c r="F443" s="5" t="s">
        <v>965</v>
      </c>
      <c r="G443" s="5">
        <v>4</v>
      </c>
      <c r="H443" s="5" t="s">
        <v>963</v>
      </c>
      <c r="I443" s="13">
        <v>709903078</v>
      </c>
      <c r="J443" s="10" t="s">
        <v>1426</v>
      </c>
      <c r="K443" t="str">
        <f>LEFT(C443,FIND(" ",C443)-1)&amp;"-"&amp;E443&amp;" "&amp;"Filialina çardırılma"</f>
        <v>Zaur-Sumqayit Filialina çardırılma</v>
      </c>
      <c r="L443">
        <f>VLOOKUP(D443,Anbar!$A$2:$B$5,2,FALSE)</f>
        <v>400</v>
      </c>
      <c r="M443">
        <f>VLOOKUP(D443,Anbar!$A$2:$C$5,3,FALSE)</f>
        <v>650</v>
      </c>
      <c r="N443">
        <f t="shared" si="12"/>
        <v>2600</v>
      </c>
      <c r="O443">
        <f t="shared" si="13"/>
        <v>1000</v>
      </c>
      <c r="P443" t="str">
        <f>IF(AND(F443="Nağd",G443&gt;5),M443*0.9,"0%")</f>
        <v>0%</v>
      </c>
      <c r="Q443" s="9" t="str">
        <f>IF(F443="Kredit",EOMONTH(B443,0),"")</f>
        <v/>
      </c>
      <c r="R443" s="17" t="str">
        <f>TEXT(B443,"dddd")</f>
        <v>Saturday</v>
      </c>
    </row>
    <row r="444" spans="1:18">
      <c r="A444" s="5" t="s">
        <v>451</v>
      </c>
      <c r="B444" s="8">
        <v>46098</v>
      </c>
      <c r="C444" s="5" t="s">
        <v>975</v>
      </c>
      <c r="D444" s="5" t="s">
        <v>15</v>
      </c>
      <c r="E444" s="5" t="s">
        <v>9</v>
      </c>
      <c r="F444" s="5" t="s">
        <v>965</v>
      </c>
      <c r="G444" s="5">
        <v>4</v>
      </c>
      <c r="H444" s="5" t="s">
        <v>963</v>
      </c>
      <c r="I444" s="13">
        <v>778305923</v>
      </c>
      <c r="J444" s="10" t="s">
        <v>1427</v>
      </c>
      <c r="K444" t="str">
        <f>LEFT(C444,FIND(" ",C444)-1)&amp;"-"&amp;E444&amp;" "&amp;"Filialina çardırılma"</f>
        <v>Murad-Gence Filialina çardırılma</v>
      </c>
      <c r="L444">
        <f>VLOOKUP(D444,Anbar!$A$2:$B$5,2,FALSE)</f>
        <v>600</v>
      </c>
      <c r="M444">
        <f>VLOOKUP(D444,Anbar!$A$2:$C$5,3,FALSE)</f>
        <v>950</v>
      </c>
      <c r="N444">
        <f t="shared" si="12"/>
        <v>3800</v>
      </c>
      <c r="O444">
        <f t="shared" si="13"/>
        <v>1400</v>
      </c>
      <c r="P444" t="str">
        <f>IF(AND(F444="Nağd",G444&gt;5),M444*0.9,"0%")</f>
        <v>0%</v>
      </c>
      <c r="Q444" s="9" t="str">
        <f>IF(F444="Kredit",EOMONTH(B444,0),"")</f>
        <v/>
      </c>
      <c r="R444" s="17" t="str">
        <f>TEXT(B444,"dddd")</f>
        <v>Tuesday</v>
      </c>
    </row>
    <row r="445" spans="1:18">
      <c r="A445" s="5" t="s">
        <v>452</v>
      </c>
      <c r="B445" s="8">
        <v>46148</v>
      </c>
      <c r="C445" s="5" t="s">
        <v>974</v>
      </c>
      <c r="D445" s="5" t="s">
        <v>968</v>
      </c>
      <c r="E445" s="5" t="s">
        <v>966</v>
      </c>
      <c r="F445" s="5" t="s">
        <v>965</v>
      </c>
      <c r="G445" s="5">
        <v>4</v>
      </c>
      <c r="H445" s="5" t="s">
        <v>963</v>
      </c>
      <c r="I445" s="13">
        <v>550900789</v>
      </c>
      <c r="J445" s="10" t="s">
        <v>1428</v>
      </c>
      <c r="K445" t="str">
        <f>LEFT(C445,FIND(" ",C445)-1)&amp;"-"&amp;E445&amp;" "&amp;"Filialina çardırılma"</f>
        <v>Ramil-Bakı Filialina çardırılma</v>
      </c>
      <c r="L445">
        <f>VLOOKUP(D445,Anbar!$A$2:$B$5,2,FALSE)</f>
        <v>400</v>
      </c>
      <c r="M445">
        <f>VLOOKUP(D445,Anbar!$A$2:$C$5,3,FALSE)</f>
        <v>650</v>
      </c>
      <c r="N445">
        <f t="shared" si="12"/>
        <v>2600</v>
      </c>
      <c r="O445">
        <f t="shared" si="13"/>
        <v>1000</v>
      </c>
      <c r="P445" t="str">
        <f>IF(AND(F445="Nağd",G445&gt;5),M445*0.9,"0%")</f>
        <v>0%</v>
      </c>
      <c r="Q445" s="9" t="str">
        <f>IF(F445="Kredit",EOMONTH(B445,0),"")</f>
        <v/>
      </c>
      <c r="R445" s="17" t="str">
        <f>TEXT(B445,"dddd")</f>
        <v>Wednesday</v>
      </c>
    </row>
    <row r="446" spans="1:18">
      <c r="A446" s="5" t="s">
        <v>453</v>
      </c>
      <c r="B446" s="8">
        <v>46063</v>
      </c>
      <c r="C446" s="5" t="s">
        <v>974</v>
      </c>
      <c r="D446" s="5" t="s">
        <v>15</v>
      </c>
      <c r="E446" s="5" t="s">
        <v>964</v>
      </c>
      <c r="F446" s="5" t="s">
        <v>965</v>
      </c>
      <c r="G446" s="5">
        <v>10</v>
      </c>
      <c r="H446" s="5" t="s">
        <v>963</v>
      </c>
      <c r="I446" s="13">
        <v>503630010</v>
      </c>
      <c r="J446" s="10" t="s">
        <v>1429</v>
      </c>
      <c r="K446" t="str">
        <f>LEFT(C446,FIND(" ",C446)-1)&amp;"-"&amp;E446&amp;" "&amp;"Filialina çardırılma"</f>
        <v>Ramil-Sumqayıt Filialina çardırılma</v>
      </c>
      <c r="L446">
        <f>VLOOKUP(D446,Anbar!$A$2:$B$5,2,FALSE)</f>
        <v>600</v>
      </c>
      <c r="M446">
        <f>VLOOKUP(D446,Anbar!$A$2:$C$5,3,FALSE)</f>
        <v>950</v>
      </c>
      <c r="N446">
        <f t="shared" si="12"/>
        <v>9500</v>
      </c>
      <c r="O446">
        <f t="shared" si="13"/>
        <v>3500</v>
      </c>
      <c r="P446">
        <f>IF(AND(F446="Nağd",G446&gt;5),M446*0.9,"0%")</f>
        <v>855</v>
      </c>
      <c r="Q446" s="9" t="str">
        <f>IF(F446="Kredit",EOMONTH(B446,0),"")</f>
        <v/>
      </c>
      <c r="R446" s="17" t="str">
        <f>TEXT(B446,"dddd")</f>
        <v>Tuesday</v>
      </c>
    </row>
    <row r="447" spans="1:18">
      <c r="A447" s="5" t="s">
        <v>454</v>
      </c>
      <c r="B447" s="8">
        <v>46137</v>
      </c>
      <c r="C447" s="5" t="s">
        <v>979</v>
      </c>
      <c r="D447" s="5" t="s">
        <v>968</v>
      </c>
      <c r="E447" s="5" t="s">
        <v>981</v>
      </c>
      <c r="F447" s="5" t="s">
        <v>965</v>
      </c>
      <c r="G447" s="5">
        <v>9</v>
      </c>
      <c r="H447" s="5" t="s">
        <v>963</v>
      </c>
      <c r="I447" s="13">
        <v>512584434</v>
      </c>
      <c r="J447" s="10" t="s">
        <v>1430</v>
      </c>
      <c r="K447" t="str">
        <f>LEFT(C447,FIND(" ",C447)-1)&amp;"-"&amp;E447&amp;" "&amp;"Filialina çardırılma"</f>
        <v>Leyla-Gəncə Filialina çardırılma</v>
      </c>
      <c r="L447">
        <f>VLOOKUP(D447,Anbar!$A$2:$B$5,2,FALSE)</f>
        <v>400</v>
      </c>
      <c r="M447">
        <f>VLOOKUP(D447,Anbar!$A$2:$C$5,3,FALSE)</f>
        <v>650</v>
      </c>
      <c r="N447">
        <f t="shared" si="12"/>
        <v>5850</v>
      </c>
      <c r="O447">
        <f t="shared" si="13"/>
        <v>2250</v>
      </c>
      <c r="P447">
        <f>IF(AND(F447="Nağd",G447&gt;5),M447*0.9,"0%")</f>
        <v>585</v>
      </c>
      <c r="Q447" s="9" t="str">
        <f>IF(F447="Kredit",EOMONTH(B447,0),"")</f>
        <v/>
      </c>
      <c r="R447" s="17" t="str">
        <f>TEXT(B447,"dddd")</f>
        <v>Saturday</v>
      </c>
    </row>
    <row r="448" spans="1:18">
      <c r="A448" s="5" t="s">
        <v>455</v>
      </c>
      <c r="B448" s="8">
        <v>46121</v>
      </c>
      <c r="C448" s="5" t="s">
        <v>978</v>
      </c>
      <c r="D448" s="5" t="s">
        <v>968</v>
      </c>
      <c r="E448" s="5" t="s">
        <v>980</v>
      </c>
      <c r="F448" s="5" t="s">
        <v>4</v>
      </c>
      <c r="G448" s="5">
        <v>5</v>
      </c>
      <c r="H448" s="5" t="s">
        <v>963</v>
      </c>
      <c r="I448" s="13">
        <v>556813214</v>
      </c>
      <c r="J448" s="10" t="s">
        <v>1431</v>
      </c>
      <c r="K448" t="str">
        <f>LEFT(C448,FIND(" ",C448)-1)&amp;"-"&amp;E448&amp;" "&amp;"Filialina çardırılma"</f>
        <v>Əli-Sumqayit Filialina çardırılma</v>
      </c>
      <c r="L448">
        <f>VLOOKUP(D448,Anbar!$A$2:$B$5,2,FALSE)</f>
        <v>400</v>
      </c>
      <c r="M448">
        <f>VLOOKUP(D448,Anbar!$A$2:$C$5,3,FALSE)</f>
        <v>650</v>
      </c>
      <c r="N448">
        <f t="shared" si="12"/>
        <v>3250</v>
      </c>
      <c r="O448">
        <f t="shared" si="13"/>
        <v>1250</v>
      </c>
      <c r="P448" t="str">
        <f>IF(AND(F448="Nağd",G448&gt;5),M448*0.9,"0%")</f>
        <v>0%</v>
      </c>
      <c r="Q448" s="9">
        <f>IF(F448="Kredit",EOMONTH(B448,0),"")</f>
        <v>46142</v>
      </c>
      <c r="R448" s="17" t="str">
        <f>TEXT(B448,"dddd")</f>
        <v>Thursday</v>
      </c>
    </row>
    <row r="449" spans="1:18">
      <c r="A449" s="5" t="s">
        <v>456</v>
      </c>
      <c r="B449" s="8">
        <v>46121</v>
      </c>
      <c r="C449" s="5" t="s">
        <v>976</v>
      </c>
      <c r="D449" s="5" t="s">
        <v>15</v>
      </c>
      <c r="E449" s="5" t="s">
        <v>981</v>
      </c>
      <c r="F449" s="5" t="s">
        <v>965</v>
      </c>
      <c r="G449" s="5">
        <v>4</v>
      </c>
      <c r="H449" s="5" t="s">
        <v>963</v>
      </c>
      <c r="I449" s="13">
        <v>506247828</v>
      </c>
      <c r="J449" s="10" t="s">
        <v>1432</v>
      </c>
      <c r="K449" t="str">
        <f>LEFT(C449,FIND(" ",C449)-1)&amp;"-"&amp;E449&amp;" "&amp;"Filialina çardırılma"</f>
        <v>Nərgin-Gəncə Filialina çardırılma</v>
      </c>
      <c r="L449">
        <f>VLOOKUP(D449,Anbar!$A$2:$B$5,2,FALSE)</f>
        <v>600</v>
      </c>
      <c r="M449">
        <f>VLOOKUP(D449,Anbar!$A$2:$C$5,3,FALSE)</f>
        <v>950</v>
      </c>
      <c r="N449">
        <f t="shared" si="12"/>
        <v>3800</v>
      </c>
      <c r="O449">
        <f t="shared" si="13"/>
        <v>1400</v>
      </c>
      <c r="P449" t="str">
        <f>IF(AND(F449="Nağd",G449&gt;5),M449*0.9,"0%")</f>
        <v>0%</v>
      </c>
      <c r="Q449" s="9" t="str">
        <f>IF(F449="Kredit",EOMONTH(B449,0),"")</f>
        <v/>
      </c>
      <c r="R449" s="17" t="str">
        <f>TEXT(B449,"dddd")</f>
        <v>Thursday</v>
      </c>
    </row>
    <row r="450" spans="1:18">
      <c r="A450" s="5" t="s">
        <v>457</v>
      </c>
      <c r="B450" s="8">
        <v>46169</v>
      </c>
      <c r="C450" s="5" t="s">
        <v>975</v>
      </c>
      <c r="D450" s="5" t="s">
        <v>15</v>
      </c>
      <c r="E450" s="5" t="s">
        <v>982</v>
      </c>
      <c r="F450" s="5" t="s">
        <v>7</v>
      </c>
      <c r="G450" s="5">
        <v>3</v>
      </c>
      <c r="H450" s="5" t="s">
        <v>963</v>
      </c>
      <c r="I450" s="13">
        <v>515095607</v>
      </c>
      <c r="J450" s="10" t="s">
        <v>1433</v>
      </c>
      <c r="K450" t="str">
        <f>LEFT(C450,FIND(" ",C450)-1)&amp;"-"&amp;E450&amp;" "&amp;"Filialina çardırılma"</f>
        <v>Murad-Baki Filialina çardırılma</v>
      </c>
      <c r="L450">
        <f>VLOOKUP(D450,Anbar!$A$2:$B$5,2,FALSE)</f>
        <v>600</v>
      </c>
      <c r="M450">
        <f>VLOOKUP(D450,Anbar!$A$2:$C$5,3,FALSE)</f>
        <v>950</v>
      </c>
      <c r="N450">
        <f t="shared" si="12"/>
        <v>2850</v>
      </c>
      <c r="O450">
        <f t="shared" si="13"/>
        <v>1050</v>
      </c>
      <c r="P450" t="str">
        <f>IF(AND(F450="Nağd",G450&gt;5),M450*0.9,"0%")</f>
        <v>0%</v>
      </c>
      <c r="Q450" s="9" t="str">
        <f>IF(F450="Kredit",EOMONTH(B450,0),"")</f>
        <v/>
      </c>
      <c r="R450" s="17" t="str">
        <f>TEXT(B450,"dddd")</f>
        <v>Wednesday</v>
      </c>
    </row>
    <row r="451" spans="1:18">
      <c r="A451" s="5" t="s">
        <v>458</v>
      </c>
      <c r="B451" s="8">
        <v>46070</v>
      </c>
      <c r="C451" s="5" t="s">
        <v>974</v>
      </c>
      <c r="D451" s="5" t="s">
        <v>15</v>
      </c>
      <c r="E451" s="5" t="s">
        <v>966</v>
      </c>
      <c r="F451" s="5" t="s">
        <v>4</v>
      </c>
      <c r="G451" s="5">
        <v>4</v>
      </c>
      <c r="H451" s="5" t="s">
        <v>963</v>
      </c>
      <c r="I451" s="13">
        <v>503815931</v>
      </c>
      <c r="J451" s="10" t="s">
        <v>1434</v>
      </c>
      <c r="K451" t="str">
        <f>LEFT(C451,FIND(" ",C451)-1)&amp;"-"&amp;E451&amp;" "&amp;"Filialina çardırılma"</f>
        <v>Ramil-Bakı Filialina çardırılma</v>
      </c>
      <c r="L451">
        <f>VLOOKUP(D451,Anbar!$A$2:$B$5,2,FALSE)</f>
        <v>600</v>
      </c>
      <c r="M451">
        <f>VLOOKUP(D451,Anbar!$A$2:$C$5,3,FALSE)</f>
        <v>950</v>
      </c>
      <c r="N451">
        <f t="shared" ref="N451:N514" si="14">G451*M451</f>
        <v>3800</v>
      </c>
      <c r="O451">
        <f t="shared" ref="O451:O514" si="15">(M451-L451)*G451</f>
        <v>1400</v>
      </c>
      <c r="P451" t="str">
        <f>IF(AND(F451="Nağd",G451&gt;5),M451*0.9,"0%")</f>
        <v>0%</v>
      </c>
      <c r="Q451" s="9">
        <f>IF(F451="Kredit",EOMONTH(B451,0),"")</f>
        <v>46081</v>
      </c>
      <c r="R451" s="17" t="str">
        <f>TEXT(B451,"dddd")</f>
        <v>Tuesday</v>
      </c>
    </row>
    <row r="452" spans="1:18">
      <c r="A452" s="5" t="s">
        <v>459</v>
      </c>
      <c r="B452" s="8">
        <v>46038</v>
      </c>
      <c r="C452" s="5" t="s">
        <v>975</v>
      </c>
      <c r="D452" s="5" t="s">
        <v>971</v>
      </c>
      <c r="E452" s="5" t="s">
        <v>966</v>
      </c>
      <c r="F452" s="5" t="s">
        <v>965</v>
      </c>
      <c r="G452" s="5">
        <v>6</v>
      </c>
      <c r="H452" s="5" t="s">
        <v>963</v>
      </c>
      <c r="I452" s="13">
        <v>559617889</v>
      </c>
      <c r="J452" s="10" t="s">
        <v>1435</v>
      </c>
      <c r="K452" t="str">
        <f>LEFT(C452,FIND(" ",C452)-1)&amp;"-"&amp;E452&amp;" "&amp;"Filialina çardırılma"</f>
        <v>Murad-Bakı Filialina çardırılma</v>
      </c>
      <c r="L452">
        <f>VLOOKUP(D452,Anbar!$A$2:$B$5,2,FALSE)</f>
        <v>1200</v>
      </c>
      <c r="M452">
        <f>VLOOKUP(D452,Anbar!$A$2:$C$5,3,FALSE)</f>
        <v>1800</v>
      </c>
      <c r="N452">
        <f t="shared" si="14"/>
        <v>10800</v>
      </c>
      <c r="O452">
        <f t="shared" si="15"/>
        <v>3600</v>
      </c>
      <c r="P452">
        <f>IF(AND(F452="Nağd",G452&gt;5),M452*0.9,"0%")</f>
        <v>1620</v>
      </c>
      <c r="Q452" s="9" t="str">
        <f>IF(F452="Kredit",EOMONTH(B452,0),"")</f>
        <v/>
      </c>
      <c r="R452" s="17" t="str">
        <f>TEXT(B452,"dddd")</f>
        <v>Friday</v>
      </c>
    </row>
    <row r="453" spans="1:18">
      <c r="A453" s="5" t="s">
        <v>460</v>
      </c>
      <c r="B453" s="8">
        <v>46047</v>
      </c>
      <c r="C453" s="5" t="s">
        <v>977</v>
      </c>
      <c r="D453" s="5" t="s">
        <v>15</v>
      </c>
      <c r="E453" s="5" t="s">
        <v>981</v>
      </c>
      <c r="F453" s="5" t="s">
        <v>965</v>
      </c>
      <c r="G453" s="5">
        <v>10</v>
      </c>
      <c r="H453" s="5" t="s">
        <v>963</v>
      </c>
      <c r="I453" s="13">
        <v>505567730</v>
      </c>
      <c r="J453" s="10" t="s">
        <v>1436</v>
      </c>
      <c r="K453" t="str">
        <f>LEFT(C453,FIND(" ",C453)-1)&amp;"-"&amp;E453&amp;" "&amp;"Filialina çardırılma"</f>
        <v>Elnur-Gəncə Filialina çardırılma</v>
      </c>
      <c r="L453">
        <f>VLOOKUP(D453,Anbar!$A$2:$B$5,2,FALSE)</f>
        <v>600</v>
      </c>
      <c r="M453">
        <f>VLOOKUP(D453,Anbar!$A$2:$C$5,3,FALSE)</f>
        <v>950</v>
      </c>
      <c r="N453">
        <f t="shared" si="14"/>
        <v>9500</v>
      </c>
      <c r="O453">
        <f t="shared" si="15"/>
        <v>3500</v>
      </c>
      <c r="P453">
        <f>IF(AND(F453="Nağd",G453&gt;5),M453*0.9,"0%")</f>
        <v>855</v>
      </c>
      <c r="Q453" s="9" t="str">
        <f>IF(F453="Kredit",EOMONTH(B453,0),"")</f>
        <v/>
      </c>
      <c r="R453" s="17" t="str">
        <f>TEXT(B453,"dddd")</f>
        <v>Sunday</v>
      </c>
    </row>
    <row r="454" spans="1:18">
      <c r="A454" s="5" t="s">
        <v>461</v>
      </c>
      <c r="B454" s="8">
        <v>46114</v>
      </c>
      <c r="C454" s="5" t="s">
        <v>967</v>
      </c>
      <c r="D454" s="5" t="s">
        <v>20</v>
      </c>
      <c r="E454" s="5" t="s">
        <v>964</v>
      </c>
      <c r="F454" s="5" t="s">
        <v>4</v>
      </c>
      <c r="G454" s="5">
        <v>4</v>
      </c>
      <c r="H454" s="5" t="s">
        <v>963</v>
      </c>
      <c r="I454" s="13">
        <v>513950649</v>
      </c>
      <c r="J454" s="10" t="s">
        <v>1437</v>
      </c>
      <c r="K454" t="str">
        <f>LEFT(C454,FIND(" ",C454)-1)&amp;"-"&amp;E454&amp;" "&amp;"Filialina çardırılma"</f>
        <v>Aysel-Sumqayıt Filialina çardırılma</v>
      </c>
      <c r="L454">
        <f>VLOOKUP(D454,Anbar!$A$2:$B$5,2,FALSE)</f>
        <v>15</v>
      </c>
      <c r="M454">
        <f>VLOOKUP(D454,Anbar!$A$2:$C$5,3,FALSE)</f>
        <v>45</v>
      </c>
      <c r="N454">
        <f t="shared" si="14"/>
        <v>180</v>
      </c>
      <c r="O454">
        <f t="shared" si="15"/>
        <v>120</v>
      </c>
      <c r="P454" t="str">
        <f>IF(AND(F454="Nağd",G454&gt;5),M454*0.9,"0%")</f>
        <v>0%</v>
      </c>
      <c r="Q454" s="9">
        <f>IF(F454="Kredit",EOMONTH(B454,0),"")</f>
        <v>46142</v>
      </c>
      <c r="R454" s="17" t="str">
        <f>TEXT(B454,"dddd")</f>
        <v>Thursday</v>
      </c>
    </row>
    <row r="455" spans="1:18">
      <c r="A455" s="5" t="s">
        <v>462</v>
      </c>
      <c r="B455" s="8">
        <v>46145</v>
      </c>
      <c r="C455" s="5" t="s">
        <v>6</v>
      </c>
      <c r="D455" s="5" t="s">
        <v>20</v>
      </c>
      <c r="E455" s="5" t="s">
        <v>9</v>
      </c>
      <c r="F455" s="5" t="s">
        <v>4</v>
      </c>
      <c r="G455" s="5">
        <v>1</v>
      </c>
      <c r="H455" s="5" t="s">
        <v>963</v>
      </c>
      <c r="I455" s="13">
        <v>501976713</v>
      </c>
      <c r="J455" s="10" t="s">
        <v>1438</v>
      </c>
      <c r="K455" t="str">
        <f>LEFT(C455,FIND(" ",C455)-1)&amp;"-"&amp;E455&amp;" "&amp;"Filialina çardırılma"</f>
        <v>Zaur-Gence Filialina çardırılma</v>
      </c>
      <c r="L455">
        <f>VLOOKUP(D455,Anbar!$A$2:$B$5,2,FALSE)</f>
        <v>15</v>
      </c>
      <c r="M455">
        <f>VLOOKUP(D455,Anbar!$A$2:$C$5,3,FALSE)</f>
        <v>45</v>
      </c>
      <c r="N455">
        <f t="shared" si="14"/>
        <v>45</v>
      </c>
      <c r="O455">
        <f t="shared" si="15"/>
        <v>30</v>
      </c>
      <c r="P455" t="str">
        <f>IF(AND(F455="Nağd",G455&gt;5),M455*0.9,"0%")</f>
        <v>0%</v>
      </c>
      <c r="Q455" s="9">
        <f>IF(F455="Kredit",EOMONTH(B455,0),"")</f>
        <v>46173</v>
      </c>
      <c r="R455" s="17" t="str">
        <f>TEXT(B455,"dddd")</f>
        <v>Sunday</v>
      </c>
    </row>
    <row r="456" spans="1:18">
      <c r="A456" s="5" t="s">
        <v>463</v>
      </c>
      <c r="B456" s="8">
        <v>46120</v>
      </c>
      <c r="C456" s="5" t="s">
        <v>978</v>
      </c>
      <c r="D456" s="5" t="s">
        <v>20</v>
      </c>
      <c r="E456" s="5" t="s">
        <v>983</v>
      </c>
      <c r="F456" s="5" t="s">
        <v>965</v>
      </c>
      <c r="G456" s="5">
        <v>6</v>
      </c>
      <c r="H456" s="5" t="s">
        <v>963</v>
      </c>
      <c r="I456" s="13">
        <v>519525422</v>
      </c>
      <c r="J456" s="10" t="s">
        <v>1439</v>
      </c>
      <c r="K456" t="str">
        <f>LEFT(C456,FIND(" ",C456)-1)&amp;"-"&amp;E456&amp;" "&amp;"Filialina çardırılma"</f>
        <v>Əli-Naməlum Filialina çardırılma</v>
      </c>
      <c r="L456">
        <f>VLOOKUP(D456,Anbar!$A$2:$B$5,2,FALSE)</f>
        <v>15</v>
      </c>
      <c r="M456">
        <f>VLOOKUP(D456,Anbar!$A$2:$C$5,3,FALSE)</f>
        <v>45</v>
      </c>
      <c r="N456">
        <f t="shared" si="14"/>
        <v>270</v>
      </c>
      <c r="O456">
        <f t="shared" si="15"/>
        <v>180</v>
      </c>
      <c r="P456">
        <f>IF(AND(F456="Nağd",G456&gt;5),M456*0.9,"0%")</f>
        <v>40.5</v>
      </c>
      <c r="Q456" s="9" t="str">
        <f>IF(F456="Kredit",EOMONTH(B456,0),"")</f>
        <v/>
      </c>
      <c r="R456" s="17" t="str">
        <f>TEXT(B456,"dddd")</f>
        <v>Wednesday</v>
      </c>
    </row>
    <row r="457" spans="1:18">
      <c r="A457" s="5" t="s">
        <v>464</v>
      </c>
      <c r="B457" s="8">
        <v>46071</v>
      </c>
      <c r="C457" s="5" t="s">
        <v>967</v>
      </c>
      <c r="D457" s="5" t="s">
        <v>15</v>
      </c>
      <c r="E457" s="5" t="s">
        <v>964</v>
      </c>
      <c r="F457" s="5" t="s">
        <v>7</v>
      </c>
      <c r="G457" s="5">
        <v>6</v>
      </c>
      <c r="H457" s="5" t="s">
        <v>963</v>
      </c>
      <c r="I457" s="13">
        <v>707640944</v>
      </c>
      <c r="J457" s="10" t="s">
        <v>1440</v>
      </c>
      <c r="K457" t="str">
        <f>LEFT(C457,FIND(" ",C457)-1)&amp;"-"&amp;E457&amp;" "&amp;"Filialina çardırılma"</f>
        <v>Aysel-Sumqayıt Filialina çardırılma</v>
      </c>
      <c r="L457">
        <f>VLOOKUP(D457,Anbar!$A$2:$B$5,2,FALSE)</f>
        <v>600</v>
      </c>
      <c r="M457">
        <f>VLOOKUP(D457,Anbar!$A$2:$C$5,3,FALSE)</f>
        <v>950</v>
      </c>
      <c r="N457">
        <f t="shared" si="14"/>
        <v>5700</v>
      </c>
      <c r="O457">
        <f t="shared" si="15"/>
        <v>2100</v>
      </c>
      <c r="P457" t="str">
        <f>IF(AND(F457="Nağd",G457&gt;5),M457*0.9,"0%")</f>
        <v>0%</v>
      </c>
      <c r="Q457" s="9" t="str">
        <f>IF(F457="Kredit",EOMONTH(B457,0),"")</f>
        <v/>
      </c>
      <c r="R457" s="17" t="str">
        <f>TEXT(B457,"dddd")</f>
        <v>Wednesday</v>
      </c>
    </row>
    <row r="458" spans="1:18">
      <c r="A458" s="5" t="s">
        <v>465</v>
      </c>
      <c r="B458" s="8">
        <v>46113</v>
      </c>
      <c r="C458" s="5" t="s">
        <v>6</v>
      </c>
      <c r="D458" s="5" t="s">
        <v>971</v>
      </c>
      <c r="E458" s="5" t="s">
        <v>966</v>
      </c>
      <c r="F458" s="5" t="s">
        <v>965</v>
      </c>
      <c r="G458" s="5">
        <v>9</v>
      </c>
      <c r="H458" s="5" t="s">
        <v>963</v>
      </c>
      <c r="I458" s="13">
        <v>507081545</v>
      </c>
      <c r="J458" s="10" t="s">
        <v>1441</v>
      </c>
      <c r="K458" t="str">
        <f>LEFT(C458,FIND(" ",C458)-1)&amp;"-"&amp;E458&amp;" "&amp;"Filialina çardırılma"</f>
        <v>Zaur-Bakı Filialina çardırılma</v>
      </c>
      <c r="L458">
        <f>VLOOKUP(D458,Anbar!$A$2:$B$5,2,FALSE)</f>
        <v>1200</v>
      </c>
      <c r="M458">
        <f>VLOOKUP(D458,Anbar!$A$2:$C$5,3,FALSE)</f>
        <v>1800</v>
      </c>
      <c r="N458">
        <f t="shared" si="14"/>
        <v>16200</v>
      </c>
      <c r="O458">
        <f t="shared" si="15"/>
        <v>5400</v>
      </c>
      <c r="P458">
        <f>IF(AND(F458="Nağd",G458&gt;5),M458*0.9,"0%")</f>
        <v>1620</v>
      </c>
      <c r="Q458" s="9" t="str">
        <f>IF(F458="Kredit",EOMONTH(B458,0),"")</f>
        <v/>
      </c>
      <c r="R458" s="17" t="str">
        <f>TEXT(B458,"dddd")</f>
        <v>Wednesday</v>
      </c>
    </row>
    <row r="459" spans="1:18">
      <c r="A459" s="5" t="s">
        <v>466</v>
      </c>
      <c r="B459" s="8">
        <v>46049</v>
      </c>
      <c r="C459" s="5" t="s">
        <v>974</v>
      </c>
      <c r="D459" s="5" t="s">
        <v>15</v>
      </c>
      <c r="E459" s="5" t="s">
        <v>981</v>
      </c>
      <c r="F459" s="5" t="s">
        <v>965</v>
      </c>
      <c r="G459" s="5">
        <v>1</v>
      </c>
      <c r="H459" s="5" t="s">
        <v>963</v>
      </c>
      <c r="I459" s="13">
        <v>513042658</v>
      </c>
      <c r="J459" s="10" t="s">
        <v>1442</v>
      </c>
      <c r="K459" t="str">
        <f>LEFT(C459,FIND(" ",C459)-1)&amp;"-"&amp;E459&amp;" "&amp;"Filialina çardırılma"</f>
        <v>Ramil-Gəncə Filialina çardırılma</v>
      </c>
      <c r="L459">
        <f>VLOOKUP(D459,Anbar!$A$2:$B$5,2,FALSE)</f>
        <v>600</v>
      </c>
      <c r="M459">
        <f>VLOOKUP(D459,Anbar!$A$2:$C$5,3,FALSE)</f>
        <v>950</v>
      </c>
      <c r="N459">
        <f t="shared" si="14"/>
        <v>950</v>
      </c>
      <c r="O459">
        <f t="shared" si="15"/>
        <v>350</v>
      </c>
      <c r="P459" t="str">
        <f>IF(AND(F459="Nağd",G459&gt;5),M459*0.9,"0%")</f>
        <v>0%</v>
      </c>
      <c r="Q459" s="9" t="str">
        <f>IF(F459="Kredit",EOMONTH(B459,0),"")</f>
        <v/>
      </c>
      <c r="R459" s="17" t="str">
        <f>TEXT(B459,"dddd")</f>
        <v>Tuesday</v>
      </c>
    </row>
    <row r="460" spans="1:18">
      <c r="A460" s="5" t="s">
        <v>467</v>
      </c>
      <c r="B460" s="8">
        <v>46092</v>
      </c>
      <c r="C460" s="5" t="s">
        <v>979</v>
      </c>
      <c r="D460" s="5" t="s">
        <v>15</v>
      </c>
      <c r="E460" s="5" t="s">
        <v>980</v>
      </c>
      <c r="F460" s="5" t="s">
        <v>965</v>
      </c>
      <c r="G460" s="5">
        <v>6</v>
      </c>
      <c r="H460" s="5" t="s">
        <v>963</v>
      </c>
      <c r="I460" s="13">
        <v>512350025</v>
      </c>
      <c r="J460" s="10" t="s">
        <v>1443</v>
      </c>
      <c r="K460" t="str">
        <f>LEFT(C460,FIND(" ",C460)-1)&amp;"-"&amp;E460&amp;" "&amp;"Filialina çardırılma"</f>
        <v>Leyla-Sumqayit Filialina çardırılma</v>
      </c>
      <c r="L460">
        <f>VLOOKUP(D460,Anbar!$A$2:$B$5,2,FALSE)</f>
        <v>600</v>
      </c>
      <c r="M460">
        <f>VLOOKUP(D460,Anbar!$A$2:$C$5,3,FALSE)</f>
        <v>950</v>
      </c>
      <c r="N460">
        <f t="shared" si="14"/>
        <v>5700</v>
      </c>
      <c r="O460">
        <f t="shared" si="15"/>
        <v>2100</v>
      </c>
      <c r="P460">
        <f>IF(AND(F460="Nağd",G460&gt;5),M460*0.9,"0%")</f>
        <v>855</v>
      </c>
      <c r="Q460" s="9" t="str">
        <f>IF(F460="Kredit",EOMONTH(B460,0),"")</f>
        <v/>
      </c>
      <c r="R460" s="17" t="str">
        <f>TEXT(B460,"dddd")</f>
        <v>Wednesday</v>
      </c>
    </row>
    <row r="461" spans="1:18">
      <c r="A461" s="5" t="s">
        <v>468</v>
      </c>
      <c r="B461" s="8">
        <v>46037</v>
      </c>
      <c r="C461" s="5" t="s">
        <v>974</v>
      </c>
      <c r="D461" s="5" t="s">
        <v>15</v>
      </c>
      <c r="E461" s="5" t="s">
        <v>964</v>
      </c>
      <c r="F461" s="5" t="s">
        <v>965</v>
      </c>
      <c r="G461" s="5">
        <v>6</v>
      </c>
      <c r="H461" s="5" t="s">
        <v>963</v>
      </c>
      <c r="I461" s="13">
        <v>517407030</v>
      </c>
      <c r="J461" s="10" t="s">
        <v>1444</v>
      </c>
      <c r="K461" t="str">
        <f>LEFT(C461,FIND(" ",C461)-1)&amp;"-"&amp;E461&amp;" "&amp;"Filialina çardırılma"</f>
        <v>Ramil-Sumqayıt Filialina çardırılma</v>
      </c>
      <c r="L461">
        <f>VLOOKUP(D461,Anbar!$A$2:$B$5,2,FALSE)</f>
        <v>600</v>
      </c>
      <c r="M461">
        <f>VLOOKUP(D461,Anbar!$A$2:$C$5,3,FALSE)</f>
        <v>950</v>
      </c>
      <c r="N461">
        <f t="shared" si="14"/>
        <v>5700</v>
      </c>
      <c r="O461">
        <f t="shared" si="15"/>
        <v>2100</v>
      </c>
      <c r="P461">
        <f>IF(AND(F461="Nağd",G461&gt;5),M461*0.9,"0%")</f>
        <v>855</v>
      </c>
      <c r="Q461" s="9" t="str">
        <f>IF(F461="Kredit",EOMONTH(B461,0),"")</f>
        <v/>
      </c>
      <c r="R461" s="17" t="str">
        <f>TEXT(B461,"dddd")</f>
        <v>Thursday</v>
      </c>
    </row>
    <row r="462" spans="1:18">
      <c r="A462" s="5" t="s">
        <v>469</v>
      </c>
      <c r="B462" s="8">
        <v>46169</v>
      </c>
      <c r="C462" s="5" t="s">
        <v>978</v>
      </c>
      <c r="D462" s="5" t="s">
        <v>971</v>
      </c>
      <c r="E462" s="5" t="s">
        <v>9</v>
      </c>
      <c r="F462" s="5" t="s">
        <v>4</v>
      </c>
      <c r="G462" s="5">
        <v>4</v>
      </c>
      <c r="H462" s="5" t="s">
        <v>963</v>
      </c>
      <c r="I462" s="13">
        <v>557618943</v>
      </c>
      <c r="J462" s="10" t="s">
        <v>1445</v>
      </c>
      <c r="K462" t="str">
        <f>LEFT(C462,FIND(" ",C462)-1)&amp;"-"&amp;E462&amp;" "&amp;"Filialina çardırılma"</f>
        <v>Əli-Gence Filialina çardırılma</v>
      </c>
      <c r="L462">
        <f>VLOOKUP(D462,Anbar!$A$2:$B$5,2,FALSE)</f>
        <v>1200</v>
      </c>
      <c r="M462">
        <f>VLOOKUP(D462,Anbar!$A$2:$C$5,3,FALSE)</f>
        <v>1800</v>
      </c>
      <c r="N462">
        <f t="shared" si="14"/>
        <v>7200</v>
      </c>
      <c r="O462">
        <f t="shared" si="15"/>
        <v>2400</v>
      </c>
      <c r="P462" t="str">
        <f>IF(AND(F462="Nağd",G462&gt;5),M462*0.9,"0%")</f>
        <v>0%</v>
      </c>
      <c r="Q462" s="9">
        <f>IF(F462="Kredit",EOMONTH(B462,0),"")</f>
        <v>46173</v>
      </c>
      <c r="R462" s="17" t="str">
        <f>TEXT(B462,"dddd")</f>
        <v>Wednesday</v>
      </c>
    </row>
    <row r="463" spans="1:18">
      <c r="A463" s="5" t="s">
        <v>470</v>
      </c>
      <c r="B463" s="8">
        <v>46102</v>
      </c>
      <c r="C463" s="5" t="s">
        <v>967</v>
      </c>
      <c r="D463" s="5" t="s">
        <v>15</v>
      </c>
      <c r="E463" s="5" t="s">
        <v>9</v>
      </c>
      <c r="F463" s="5" t="s">
        <v>965</v>
      </c>
      <c r="G463" s="5">
        <v>3</v>
      </c>
      <c r="H463" s="5" t="s">
        <v>963</v>
      </c>
      <c r="I463" s="13">
        <v>513842721</v>
      </c>
      <c r="J463" s="10" t="s">
        <v>1446</v>
      </c>
      <c r="K463" t="str">
        <f>LEFT(C463,FIND(" ",C463)-1)&amp;"-"&amp;E463&amp;" "&amp;"Filialina çardırılma"</f>
        <v>Aysel-Gence Filialina çardırılma</v>
      </c>
      <c r="L463">
        <f>VLOOKUP(D463,Anbar!$A$2:$B$5,2,FALSE)</f>
        <v>600</v>
      </c>
      <c r="M463">
        <f>VLOOKUP(D463,Anbar!$A$2:$C$5,3,FALSE)</f>
        <v>950</v>
      </c>
      <c r="N463">
        <f t="shared" si="14"/>
        <v>2850</v>
      </c>
      <c r="O463">
        <f t="shared" si="15"/>
        <v>1050</v>
      </c>
      <c r="P463" t="str">
        <f>IF(AND(F463="Nağd",G463&gt;5),M463*0.9,"0%")</f>
        <v>0%</v>
      </c>
      <c r="Q463" s="9" t="str">
        <f>IF(F463="Kredit",EOMONTH(B463,0),"")</f>
        <v/>
      </c>
      <c r="R463" s="17" t="str">
        <f>TEXT(B463,"dddd")</f>
        <v>Saturday</v>
      </c>
    </row>
    <row r="464" spans="1:18">
      <c r="A464" s="5" t="s">
        <v>471</v>
      </c>
      <c r="B464" s="8">
        <v>46106</v>
      </c>
      <c r="C464" s="5" t="s">
        <v>974</v>
      </c>
      <c r="D464" s="5" t="s">
        <v>15</v>
      </c>
      <c r="E464" s="5" t="s">
        <v>9</v>
      </c>
      <c r="F464" s="5" t="s">
        <v>7</v>
      </c>
      <c r="G464" s="5">
        <v>1</v>
      </c>
      <c r="H464" s="5" t="s">
        <v>963</v>
      </c>
      <c r="I464" s="13">
        <v>511369080</v>
      </c>
      <c r="J464" s="10" t="s">
        <v>1447</v>
      </c>
      <c r="K464" t="str">
        <f>LEFT(C464,FIND(" ",C464)-1)&amp;"-"&amp;E464&amp;" "&amp;"Filialina çardırılma"</f>
        <v>Ramil-Gence Filialina çardırılma</v>
      </c>
      <c r="L464">
        <f>VLOOKUP(D464,Anbar!$A$2:$B$5,2,FALSE)</f>
        <v>600</v>
      </c>
      <c r="M464">
        <f>VLOOKUP(D464,Anbar!$A$2:$C$5,3,FALSE)</f>
        <v>950</v>
      </c>
      <c r="N464">
        <f t="shared" si="14"/>
        <v>950</v>
      </c>
      <c r="O464">
        <f t="shared" si="15"/>
        <v>350</v>
      </c>
      <c r="P464" t="str">
        <f>IF(AND(F464="Nağd",G464&gt;5),M464*0.9,"0%")</f>
        <v>0%</v>
      </c>
      <c r="Q464" s="9" t="str">
        <f>IF(F464="Kredit",EOMONTH(B464,0),"")</f>
        <v/>
      </c>
      <c r="R464" s="17" t="str">
        <f>TEXT(B464,"dddd")</f>
        <v>Wednesday</v>
      </c>
    </row>
    <row r="465" spans="1:18">
      <c r="A465" s="5" t="s">
        <v>472</v>
      </c>
      <c r="B465" s="8">
        <v>46161</v>
      </c>
      <c r="C465" s="5" t="s">
        <v>979</v>
      </c>
      <c r="D465" s="5" t="s">
        <v>15</v>
      </c>
      <c r="E465" s="5" t="s">
        <v>966</v>
      </c>
      <c r="F465" s="5" t="s">
        <v>7</v>
      </c>
      <c r="G465" s="5">
        <v>7</v>
      </c>
      <c r="H465" s="5" t="s">
        <v>963</v>
      </c>
      <c r="I465" s="13">
        <v>503133782</v>
      </c>
      <c r="J465" s="10" t="s">
        <v>1448</v>
      </c>
      <c r="K465" t="str">
        <f>LEFT(C465,FIND(" ",C465)-1)&amp;"-"&amp;E465&amp;" "&amp;"Filialina çardırılma"</f>
        <v>Leyla-Bakı Filialina çardırılma</v>
      </c>
      <c r="L465">
        <f>VLOOKUP(D465,Anbar!$A$2:$B$5,2,FALSE)</f>
        <v>600</v>
      </c>
      <c r="M465">
        <f>VLOOKUP(D465,Anbar!$A$2:$C$5,3,FALSE)</f>
        <v>950</v>
      </c>
      <c r="N465">
        <f t="shared" si="14"/>
        <v>6650</v>
      </c>
      <c r="O465">
        <f t="shared" si="15"/>
        <v>2450</v>
      </c>
      <c r="P465" t="str">
        <f>IF(AND(F465="Nağd",G465&gt;5),M465*0.9,"0%")</f>
        <v>0%</v>
      </c>
      <c r="Q465" s="9" t="str">
        <f>IF(F465="Kredit",EOMONTH(B465,0),"")</f>
        <v/>
      </c>
      <c r="R465" s="17" t="str">
        <f>TEXT(B465,"dddd")</f>
        <v>Tuesday</v>
      </c>
    </row>
    <row r="466" spans="1:18">
      <c r="A466" s="5" t="s">
        <v>473</v>
      </c>
      <c r="B466" s="8">
        <v>46155</v>
      </c>
      <c r="C466" s="5" t="s">
        <v>974</v>
      </c>
      <c r="D466" s="5" t="s">
        <v>20</v>
      </c>
      <c r="E466" s="5" t="s">
        <v>966</v>
      </c>
      <c r="F466" s="5" t="s">
        <v>4</v>
      </c>
      <c r="G466" s="5">
        <v>10</v>
      </c>
      <c r="H466" s="5" t="s">
        <v>963</v>
      </c>
      <c r="I466" s="13">
        <v>551439696</v>
      </c>
      <c r="J466" s="10" t="s">
        <v>1449</v>
      </c>
      <c r="K466" t="str">
        <f>LEFT(C466,FIND(" ",C466)-1)&amp;"-"&amp;E466&amp;" "&amp;"Filialina çardırılma"</f>
        <v>Ramil-Bakı Filialina çardırılma</v>
      </c>
      <c r="L466">
        <f>VLOOKUP(D466,Anbar!$A$2:$B$5,2,FALSE)</f>
        <v>15</v>
      </c>
      <c r="M466">
        <f>VLOOKUP(D466,Anbar!$A$2:$C$5,3,FALSE)</f>
        <v>45</v>
      </c>
      <c r="N466">
        <f t="shared" si="14"/>
        <v>450</v>
      </c>
      <c r="O466">
        <f t="shared" si="15"/>
        <v>300</v>
      </c>
      <c r="P466" t="str">
        <f>IF(AND(F466="Nağd",G466&gt;5),M466*0.9,"0%")</f>
        <v>0%</v>
      </c>
      <c r="Q466" s="9">
        <f>IF(F466="Kredit",EOMONTH(B466,0),"")</f>
        <v>46173</v>
      </c>
      <c r="R466" s="17" t="str">
        <f>TEXT(B466,"dddd")</f>
        <v>Wednesday</v>
      </c>
    </row>
    <row r="467" spans="1:18">
      <c r="A467" s="5" t="s">
        <v>474</v>
      </c>
      <c r="B467" s="8">
        <v>46135</v>
      </c>
      <c r="C467" s="5" t="s">
        <v>975</v>
      </c>
      <c r="D467" s="5" t="s">
        <v>15</v>
      </c>
      <c r="E467" s="5" t="s">
        <v>981</v>
      </c>
      <c r="F467" s="5" t="s">
        <v>965</v>
      </c>
      <c r="G467" s="5">
        <v>9</v>
      </c>
      <c r="H467" s="5" t="s">
        <v>963</v>
      </c>
      <c r="I467" s="13">
        <v>701351542</v>
      </c>
      <c r="J467" s="10" t="s">
        <v>1450</v>
      </c>
      <c r="K467" t="str">
        <f>LEFT(C467,FIND(" ",C467)-1)&amp;"-"&amp;E467&amp;" "&amp;"Filialina çardırılma"</f>
        <v>Murad-Gəncə Filialina çardırılma</v>
      </c>
      <c r="L467">
        <f>VLOOKUP(D467,Anbar!$A$2:$B$5,2,FALSE)</f>
        <v>600</v>
      </c>
      <c r="M467">
        <f>VLOOKUP(D467,Anbar!$A$2:$C$5,3,FALSE)</f>
        <v>950</v>
      </c>
      <c r="N467">
        <f t="shared" si="14"/>
        <v>8550</v>
      </c>
      <c r="O467">
        <f t="shared" si="15"/>
        <v>3150</v>
      </c>
      <c r="P467">
        <f>IF(AND(F467="Nağd",G467&gt;5),M467*0.9,"0%")</f>
        <v>855</v>
      </c>
      <c r="Q467" s="9" t="str">
        <f>IF(F467="Kredit",EOMONTH(B467,0),"")</f>
        <v/>
      </c>
      <c r="R467" s="17" t="str">
        <f>TEXT(B467,"dddd")</f>
        <v>Thursday</v>
      </c>
    </row>
    <row r="468" spans="1:18">
      <c r="A468" s="5" t="s">
        <v>475</v>
      </c>
      <c r="B468" s="8">
        <v>46071</v>
      </c>
      <c r="C468" s="5" t="s">
        <v>977</v>
      </c>
      <c r="D468" s="5" t="s">
        <v>971</v>
      </c>
      <c r="E468" s="5" t="s">
        <v>980</v>
      </c>
      <c r="F468" s="5" t="s">
        <v>7</v>
      </c>
      <c r="G468" s="5">
        <v>7</v>
      </c>
      <c r="H468" s="5" t="s">
        <v>963</v>
      </c>
      <c r="I468" s="13">
        <v>555811180</v>
      </c>
      <c r="J468" s="10" t="s">
        <v>1451</v>
      </c>
      <c r="K468" t="str">
        <f>LEFT(C468,FIND(" ",C468)-1)&amp;"-"&amp;E468&amp;" "&amp;"Filialina çardırılma"</f>
        <v>Elnur-Sumqayit Filialina çardırılma</v>
      </c>
      <c r="L468">
        <f>VLOOKUP(D468,Anbar!$A$2:$B$5,2,FALSE)</f>
        <v>1200</v>
      </c>
      <c r="M468">
        <f>VLOOKUP(D468,Anbar!$A$2:$C$5,3,FALSE)</f>
        <v>1800</v>
      </c>
      <c r="N468">
        <f t="shared" si="14"/>
        <v>12600</v>
      </c>
      <c r="O468">
        <f t="shared" si="15"/>
        <v>4200</v>
      </c>
      <c r="P468" t="str">
        <f>IF(AND(F468="Nağd",G468&gt;5),M468*0.9,"0%")</f>
        <v>0%</v>
      </c>
      <c r="Q468" s="9" t="str">
        <f>IF(F468="Kredit",EOMONTH(B468,0),"")</f>
        <v/>
      </c>
      <c r="R468" s="17" t="str">
        <f>TEXT(B468,"dddd")</f>
        <v>Wednesday</v>
      </c>
    </row>
    <row r="469" spans="1:18">
      <c r="A469" s="5" t="s">
        <v>476</v>
      </c>
      <c r="B469" s="8">
        <v>46058</v>
      </c>
      <c r="C469" s="5" t="s">
        <v>975</v>
      </c>
      <c r="D469" s="5" t="s">
        <v>968</v>
      </c>
      <c r="E469" s="5" t="s">
        <v>980</v>
      </c>
      <c r="F469" s="5" t="s">
        <v>965</v>
      </c>
      <c r="G469" s="5">
        <v>8</v>
      </c>
      <c r="H469" s="5" t="s">
        <v>963</v>
      </c>
      <c r="I469" s="13">
        <v>510683190</v>
      </c>
      <c r="J469" s="10" t="s">
        <v>1452</v>
      </c>
      <c r="K469" t="str">
        <f>LEFT(C469,FIND(" ",C469)-1)&amp;"-"&amp;E469&amp;" "&amp;"Filialina çardırılma"</f>
        <v>Murad-Sumqayit Filialina çardırılma</v>
      </c>
      <c r="L469">
        <f>VLOOKUP(D469,Anbar!$A$2:$B$5,2,FALSE)</f>
        <v>400</v>
      </c>
      <c r="M469">
        <f>VLOOKUP(D469,Anbar!$A$2:$C$5,3,FALSE)</f>
        <v>650</v>
      </c>
      <c r="N469">
        <f t="shared" si="14"/>
        <v>5200</v>
      </c>
      <c r="O469">
        <f t="shared" si="15"/>
        <v>2000</v>
      </c>
      <c r="P469">
        <f>IF(AND(F469="Nağd",G469&gt;5),M469*0.9,"0%")</f>
        <v>585</v>
      </c>
      <c r="Q469" s="9" t="str">
        <f>IF(F469="Kredit",EOMONTH(B469,0),"")</f>
        <v/>
      </c>
      <c r="R469" s="17" t="str">
        <f>TEXT(B469,"dddd")</f>
        <v>Thursday</v>
      </c>
    </row>
    <row r="470" spans="1:18">
      <c r="A470" s="5" t="s">
        <v>477</v>
      </c>
      <c r="B470" s="8">
        <v>46032</v>
      </c>
      <c r="C470" s="5" t="s">
        <v>6</v>
      </c>
      <c r="D470" s="5" t="s">
        <v>20</v>
      </c>
      <c r="E470" s="5" t="s">
        <v>9</v>
      </c>
      <c r="F470" s="5" t="s">
        <v>965</v>
      </c>
      <c r="G470" s="5">
        <v>2</v>
      </c>
      <c r="H470" s="5" t="s">
        <v>963</v>
      </c>
      <c r="I470" s="13">
        <v>704650396</v>
      </c>
      <c r="J470" s="10" t="s">
        <v>1453</v>
      </c>
      <c r="K470" t="str">
        <f>LEFT(C470,FIND(" ",C470)-1)&amp;"-"&amp;E470&amp;" "&amp;"Filialina çardırılma"</f>
        <v>Zaur-Gence Filialina çardırılma</v>
      </c>
      <c r="L470">
        <f>VLOOKUP(D470,Anbar!$A$2:$B$5,2,FALSE)</f>
        <v>15</v>
      </c>
      <c r="M470">
        <f>VLOOKUP(D470,Anbar!$A$2:$C$5,3,FALSE)</f>
        <v>45</v>
      </c>
      <c r="N470">
        <f t="shared" si="14"/>
        <v>90</v>
      </c>
      <c r="O470">
        <f t="shared" si="15"/>
        <v>60</v>
      </c>
      <c r="P470" t="str">
        <f>IF(AND(F470="Nağd",G470&gt;5),M470*0.9,"0%")</f>
        <v>0%</v>
      </c>
      <c r="Q470" s="9" t="str">
        <f>IF(F470="Kredit",EOMONTH(B470,0),"")</f>
        <v/>
      </c>
      <c r="R470" s="17" t="str">
        <f>TEXT(B470,"dddd")</f>
        <v>Saturday</v>
      </c>
    </row>
    <row r="471" spans="1:18">
      <c r="A471" s="5" t="s">
        <v>478</v>
      </c>
      <c r="B471" s="8">
        <v>46163</v>
      </c>
      <c r="C471" s="5" t="s">
        <v>977</v>
      </c>
      <c r="D471" s="5" t="s">
        <v>971</v>
      </c>
      <c r="E471" s="5" t="s">
        <v>966</v>
      </c>
      <c r="F471" s="5" t="s">
        <v>4</v>
      </c>
      <c r="G471" s="5">
        <v>7</v>
      </c>
      <c r="H471" s="5" t="s">
        <v>963</v>
      </c>
      <c r="I471" s="13">
        <v>555048108</v>
      </c>
      <c r="J471" s="10" t="s">
        <v>1454</v>
      </c>
      <c r="K471" t="str">
        <f>LEFT(C471,FIND(" ",C471)-1)&amp;"-"&amp;E471&amp;" "&amp;"Filialina çardırılma"</f>
        <v>Elnur-Bakı Filialina çardırılma</v>
      </c>
      <c r="L471">
        <f>VLOOKUP(D471,Anbar!$A$2:$B$5,2,FALSE)</f>
        <v>1200</v>
      </c>
      <c r="M471">
        <f>VLOOKUP(D471,Anbar!$A$2:$C$5,3,FALSE)</f>
        <v>1800</v>
      </c>
      <c r="N471">
        <f t="shared" si="14"/>
        <v>12600</v>
      </c>
      <c r="O471">
        <f t="shared" si="15"/>
        <v>4200</v>
      </c>
      <c r="P471" t="str">
        <f>IF(AND(F471="Nağd",G471&gt;5),M471*0.9,"0%")</f>
        <v>0%</v>
      </c>
      <c r="Q471" s="9">
        <f>IF(F471="Kredit",EOMONTH(B471,0),"")</f>
        <v>46173</v>
      </c>
      <c r="R471" s="17" t="str">
        <f>TEXT(B471,"dddd")</f>
        <v>Thursday</v>
      </c>
    </row>
    <row r="472" spans="1:18">
      <c r="A472" s="5" t="s">
        <v>479</v>
      </c>
      <c r="B472" s="8">
        <v>46173</v>
      </c>
      <c r="C472" s="5" t="s">
        <v>974</v>
      </c>
      <c r="D472" s="5" t="s">
        <v>15</v>
      </c>
      <c r="E472" s="5" t="s">
        <v>982</v>
      </c>
      <c r="F472" s="5" t="s">
        <v>4</v>
      </c>
      <c r="G472" s="5">
        <v>7</v>
      </c>
      <c r="H472" s="5" t="s">
        <v>963</v>
      </c>
      <c r="I472" s="13">
        <v>517691235</v>
      </c>
      <c r="J472" s="10" t="s">
        <v>1455</v>
      </c>
      <c r="K472" t="str">
        <f>LEFT(C472,FIND(" ",C472)-1)&amp;"-"&amp;E472&amp;" "&amp;"Filialina çardırılma"</f>
        <v>Ramil-Baki Filialina çardırılma</v>
      </c>
      <c r="L472">
        <f>VLOOKUP(D472,Anbar!$A$2:$B$5,2,FALSE)</f>
        <v>600</v>
      </c>
      <c r="M472">
        <f>VLOOKUP(D472,Anbar!$A$2:$C$5,3,FALSE)</f>
        <v>950</v>
      </c>
      <c r="N472">
        <f t="shared" si="14"/>
        <v>6650</v>
      </c>
      <c r="O472">
        <f t="shared" si="15"/>
        <v>2450</v>
      </c>
      <c r="P472" t="str">
        <f>IF(AND(F472="Nağd",G472&gt;5),M472*0.9,"0%")</f>
        <v>0%</v>
      </c>
      <c r="Q472" s="9">
        <f>IF(F472="Kredit",EOMONTH(B472,0),"")</f>
        <v>46173</v>
      </c>
      <c r="R472" s="17" t="str">
        <f>TEXT(B472,"dddd")</f>
        <v>Sunday</v>
      </c>
    </row>
    <row r="473" spans="1:18">
      <c r="A473" s="5" t="s">
        <v>480</v>
      </c>
      <c r="B473" s="8">
        <v>46164</v>
      </c>
      <c r="C473" s="5" t="s">
        <v>976</v>
      </c>
      <c r="D473" s="5" t="s">
        <v>20</v>
      </c>
      <c r="E473" s="5" t="s">
        <v>981</v>
      </c>
      <c r="F473" s="5" t="s">
        <v>4</v>
      </c>
      <c r="G473" s="5">
        <v>1</v>
      </c>
      <c r="H473" s="5" t="s">
        <v>963</v>
      </c>
      <c r="I473" s="13">
        <v>554548593</v>
      </c>
      <c r="J473" s="10" t="s">
        <v>1456</v>
      </c>
      <c r="K473" t="str">
        <f>LEFT(C473,FIND(" ",C473)-1)&amp;"-"&amp;E473&amp;" "&amp;"Filialina çardırılma"</f>
        <v>Nərgin-Gəncə Filialina çardırılma</v>
      </c>
      <c r="L473">
        <f>VLOOKUP(D473,Anbar!$A$2:$B$5,2,FALSE)</f>
        <v>15</v>
      </c>
      <c r="M473">
        <f>VLOOKUP(D473,Anbar!$A$2:$C$5,3,FALSE)</f>
        <v>45</v>
      </c>
      <c r="N473">
        <f t="shared" si="14"/>
        <v>45</v>
      </c>
      <c r="O473">
        <f t="shared" si="15"/>
        <v>30</v>
      </c>
      <c r="P473" t="str">
        <f>IF(AND(F473="Nağd",G473&gt;5),M473*0.9,"0%")</f>
        <v>0%</v>
      </c>
      <c r="Q473" s="9">
        <f>IF(F473="Kredit",EOMONTH(B473,0),"")</f>
        <v>46173</v>
      </c>
      <c r="R473" s="17" t="str">
        <f>TEXT(B473,"dddd")</f>
        <v>Friday</v>
      </c>
    </row>
    <row r="474" spans="1:18">
      <c r="A474" s="5" t="s">
        <v>481</v>
      </c>
      <c r="B474" s="8">
        <v>46080</v>
      </c>
      <c r="C474" s="5" t="s">
        <v>6</v>
      </c>
      <c r="D474" s="5" t="s">
        <v>20</v>
      </c>
      <c r="E474" s="5" t="s">
        <v>966</v>
      </c>
      <c r="F474" s="5" t="s">
        <v>7</v>
      </c>
      <c r="G474" s="5">
        <v>3</v>
      </c>
      <c r="H474" s="5" t="s">
        <v>963</v>
      </c>
      <c r="I474" s="13">
        <v>709128969</v>
      </c>
      <c r="J474" s="10" t="s">
        <v>1457</v>
      </c>
      <c r="K474" t="str">
        <f>LEFT(C474,FIND(" ",C474)-1)&amp;"-"&amp;E474&amp;" "&amp;"Filialina çardırılma"</f>
        <v>Zaur-Bakı Filialina çardırılma</v>
      </c>
      <c r="L474">
        <f>VLOOKUP(D474,Anbar!$A$2:$B$5,2,FALSE)</f>
        <v>15</v>
      </c>
      <c r="M474">
        <f>VLOOKUP(D474,Anbar!$A$2:$C$5,3,FALSE)</f>
        <v>45</v>
      </c>
      <c r="N474">
        <f t="shared" si="14"/>
        <v>135</v>
      </c>
      <c r="O474">
        <f t="shared" si="15"/>
        <v>90</v>
      </c>
      <c r="P474" t="str">
        <f>IF(AND(F474="Nağd",G474&gt;5),M474*0.9,"0%")</f>
        <v>0%</v>
      </c>
      <c r="Q474" s="9" t="str">
        <f>IF(F474="Kredit",EOMONTH(B474,0),"")</f>
        <v/>
      </c>
      <c r="R474" s="17" t="str">
        <f>TEXT(B474,"dddd")</f>
        <v>Friday</v>
      </c>
    </row>
    <row r="475" spans="1:18">
      <c r="A475" s="5" t="s">
        <v>482</v>
      </c>
      <c r="B475" s="8">
        <v>46163</v>
      </c>
      <c r="C475" s="5" t="s">
        <v>976</v>
      </c>
      <c r="D475" s="5" t="s">
        <v>15</v>
      </c>
      <c r="E475" s="5" t="s">
        <v>966</v>
      </c>
      <c r="F475" s="5" t="s">
        <v>7</v>
      </c>
      <c r="G475" s="5">
        <v>7</v>
      </c>
      <c r="H475" s="5" t="s">
        <v>963</v>
      </c>
      <c r="I475" s="13">
        <v>510659152</v>
      </c>
      <c r="J475" s="10" t="s">
        <v>1458</v>
      </c>
      <c r="K475" t="str">
        <f>LEFT(C475,FIND(" ",C475)-1)&amp;"-"&amp;E475&amp;" "&amp;"Filialina çardırılma"</f>
        <v>Nərgin-Bakı Filialina çardırılma</v>
      </c>
      <c r="L475">
        <f>VLOOKUP(D475,Anbar!$A$2:$B$5,2,FALSE)</f>
        <v>600</v>
      </c>
      <c r="M475">
        <f>VLOOKUP(D475,Anbar!$A$2:$C$5,3,FALSE)</f>
        <v>950</v>
      </c>
      <c r="N475">
        <f t="shared" si="14"/>
        <v>6650</v>
      </c>
      <c r="O475">
        <f t="shared" si="15"/>
        <v>2450</v>
      </c>
      <c r="P475" t="str">
        <f>IF(AND(F475="Nağd",G475&gt;5),M475*0.9,"0%")</f>
        <v>0%</v>
      </c>
      <c r="Q475" s="9" t="str">
        <f>IF(F475="Kredit",EOMONTH(B475,0),"")</f>
        <v/>
      </c>
      <c r="R475" s="17" t="str">
        <f>TEXT(B475,"dddd")</f>
        <v>Thursday</v>
      </c>
    </row>
    <row r="476" spans="1:18">
      <c r="A476" s="5" t="s">
        <v>483</v>
      </c>
      <c r="B476" s="8">
        <v>46052</v>
      </c>
      <c r="C476" s="5" t="s">
        <v>979</v>
      </c>
      <c r="D476" s="5" t="s">
        <v>15</v>
      </c>
      <c r="E476" s="5" t="s">
        <v>980</v>
      </c>
      <c r="F476" s="5" t="s">
        <v>965</v>
      </c>
      <c r="G476" s="5">
        <v>4</v>
      </c>
      <c r="H476" s="5" t="s">
        <v>963</v>
      </c>
      <c r="I476" s="13">
        <v>559797937</v>
      </c>
      <c r="J476" s="10" t="s">
        <v>1459</v>
      </c>
      <c r="K476" t="str">
        <f>LEFT(C476,FIND(" ",C476)-1)&amp;"-"&amp;E476&amp;" "&amp;"Filialina çardırılma"</f>
        <v>Leyla-Sumqayit Filialina çardırılma</v>
      </c>
      <c r="L476">
        <f>VLOOKUP(D476,Anbar!$A$2:$B$5,2,FALSE)</f>
        <v>600</v>
      </c>
      <c r="M476">
        <f>VLOOKUP(D476,Anbar!$A$2:$C$5,3,FALSE)</f>
        <v>950</v>
      </c>
      <c r="N476">
        <f t="shared" si="14"/>
        <v>3800</v>
      </c>
      <c r="O476">
        <f t="shared" si="15"/>
        <v>1400</v>
      </c>
      <c r="P476" t="str">
        <f>IF(AND(F476="Nağd",G476&gt;5),M476*0.9,"0%")</f>
        <v>0%</v>
      </c>
      <c r="Q476" s="9" t="str">
        <f>IF(F476="Kredit",EOMONTH(B476,0),"")</f>
        <v/>
      </c>
      <c r="R476" s="17" t="str">
        <f>TEXT(B476,"dddd")</f>
        <v>Friday</v>
      </c>
    </row>
    <row r="477" spans="1:18">
      <c r="A477" s="5" t="s">
        <v>484</v>
      </c>
      <c r="B477" s="8">
        <v>46163</v>
      </c>
      <c r="C477" s="5" t="s">
        <v>976</v>
      </c>
      <c r="D477" s="5" t="s">
        <v>15</v>
      </c>
      <c r="E477" s="5" t="s">
        <v>964</v>
      </c>
      <c r="F477" s="5" t="s">
        <v>965</v>
      </c>
      <c r="G477" s="5">
        <v>7</v>
      </c>
      <c r="H477" s="5" t="s">
        <v>963</v>
      </c>
      <c r="I477" s="13">
        <v>559089067</v>
      </c>
      <c r="J477" s="10" t="s">
        <v>1460</v>
      </c>
      <c r="K477" t="str">
        <f>LEFT(C477,FIND(" ",C477)-1)&amp;"-"&amp;E477&amp;" "&amp;"Filialina çardırılma"</f>
        <v>Nərgin-Sumqayıt Filialina çardırılma</v>
      </c>
      <c r="L477">
        <f>VLOOKUP(D477,Anbar!$A$2:$B$5,2,FALSE)</f>
        <v>600</v>
      </c>
      <c r="M477">
        <f>VLOOKUP(D477,Anbar!$A$2:$C$5,3,FALSE)</f>
        <v>950</v>
      </c>
      <c r="N477">
        <f t="shared" si="14"/>
        <v>6650</v>
      </c>
      <c r="O477">
        <f t="shared" si="15"/>
        <v>2450</v>
      </c>
      <c r="P477">
        <f>IF(AND(F477="Nağd",G477&gt;5),M477*0.9,"0%")</f>
        <v>855</v>
      </c>
      <c r="Q477" s="9" t="str">
        <f>IF(F477="Kredit",EOMONTH(B477,0),"")</f>
        <v/>
      </c>
      <c r="R477" s="17" t="str">
        <f>TEXT(B477,"dddd")</f>
        <v>Thursday</v>
      </c>
    </row>
    <row r="478" spans="1:18">
      <c r="A478" s="5" t="s">
        <v>485</v>
      </c>
      <c r="B478" s="8">
        <v>46069</v>
      </c>
      <c r="C478" s="5" t="s">
        <v>967</v>
      </c>
      <c r="D478" s="5" t="s">
        <v>971</v>
      </c>
      <c r="E478" s="5" t="s">
        <v>964</v>
      </c>
      <c r="F478" s="5" t="s">
        <v>4</v>
      </c>
      <c r="G478" s="5">
        <v>10</v>
      </c>
      <c r="H478" s="5" t="s">
        <v>963</v>
      </c>
      <c r="I478" s="13">
        <v>501182422</v>
      </c>
      <c r="J478" s="10" t="s">
        <v>1461</v>
      </c>
      <c r="K478" t="str">
        <f>LEFT(C478,FIND(" ",C478)-1)&amp;"-"&amp;E478&amp;" "&amp;"Filialina çardırılma"</f>
        <v>Aysel-Sumqayıt Filialina çardırılma</v>
      </c>
      <c r="L478">
        <f>VLOOKUP(D478,Anbar!$A$2:$B$5,2,FALSE)</f>
        <v>1200</v>
      </c>
      <c r="M478">
        <f>VLOOKUP(D478,Anbar!$A$2:$C$5,3,FALSE)</f>
        <v>1800</v>
      </c>
      <c r="N478">
        <f t="shared" si="14"/>
        <v>18000</v>
      </c>
      <c r="O478">
        <f t="shared" si="15"/>
        <v>6000</v>
      </c>
      <c r="P478" t="str">
        <f>IF(AND(F478="Nağd",G478&gt;5),M478*0.9,"0%")</f>
        <v>0%</v>
      </c>
      <c r="Q478" s="9">
        <f>IF(F478="Kredit",EOMONTH(B478,0),"")</f>
        <v>46081</v>
      </c>
      <c r="R478" s="17" t="str">
        <f>TEXT(B478,"dddd")</f>
        <v>Monday</v>
      </c>
    </row>
    <row r="479" spans="1:18">
      <c r="A479" s="5" t="s">
        <v>486</v>
      </c>
      <c r="B479" s="8">
        <v>46146</v>
      </c>
      <c r="C479" s="5" t="s">
        <v>974</v>
      </c>
      <c r="D479" s="5" t="s">
        <v>15</v>
      </c>
      <c r="E479" s="5" t="s">
        <v>981</v>
      </c>
      <c r="F479" s="5" t="s">
        <v>4</v>
      </c>
      <c r="G479" s="5">
        <v>6</v>
      </c>
      <c r="H479" s="5" t="s">
        <v>963</v>
      </c>
      <c r="I479" s="13">
        <v>507534300</v>
      </c>
      <c r="J479" s="10" t="s">
        <v>1462</v>
      </c>
      <c r="K479" t="str">
        <f>LEFT(C479,FIND(" ",C479)-1)&amp;"-"&amp;E479&amp;" "&amp;"Filialina çardırılma"</f>
        <v>Ramil-Gəncə Filialina çardırılma</v>
      </c>
      <c r="L479">
        <f>VLOOKUP(D479,Anbar!$A$2:$B$5,2,FALSE)</f>
        <v>600</v>
      </c>
      <c r="M479">
        <f>VLOOKUP(D479,Anbar!$A$2:$C$5,3,FALSE)</f>
        <v>950</v>
      </c>
      <c r="N479">
        <f t="shared" si="14"/>
        <v>5700</v>
      </c>
      <c r="O479">
        <f t="shared" si="15"/>
        <v>2100</v>
      </c>
      <c r="P479" t="str">
        <f>IF(AND(F479="Nağd",G479&gt;5),M479*0.9,"0%")</f>
        <v>0%</v>
      </c>
      <c r="Q479" s="9">
        <f>IF(F479="Kredit",EOMONTH(B479,0),"")</f>
        <v>46173</v>
      </c>
      <c r="R479" s="17" t="str">
        <f>TEXT(B479,"dddd")</f>
        <v>Monday</v>
      </c>
    </row>
    <row r="480" spans="1:18">
      <c r="A480" s="5" t="s">
        <v>487</v>
      </c>
      <c r="B480" s="8">
        <v>46077</v>
      </c>
      <c r="C480" s="5" t="s">
        <v>976</v>
      </c>
      <c r="D480" s="5" t="s">
        <v>971</v>
      </c>
      <c r="E480" s="5" t="s">
        <v>980</v>
      </c>
      <c r="F480" s="5" t="s">
        <v>965</v>
      </c>
      <c r="G480" s="5">
        <v>6</v>
      </c>
      <c r="H480" s="5" t="s">
        <v>963</v>
      </c>
      <c r="I480" s="13">
        <v>505370556</v>
      </c>
      <c r="J480" s="10" t="s">
        <v>1463</v>
      </c>
      <c r="K480" t="str">
        <f>LEFT(C480,FIND(" ",C480)-1)&amp;"-"&amp;E480&amp;" "&amp;"Filialina çardırılma"</f>
        <v>Nərgin-Sumqayit Filialina çardırılma</v>
      </c>
      <c r="L480">
        <f>VLOOKUP(D480,Anbar!$A$2:$B$5,2,FALSE)</f>
        <v>1200</v>
      </c>
      <c r="M480">
        <f>VLOOKUP(D480,Anbar!$A$2:$C$5,3,FALSE)</f>
        <v>1800</v>
      </c>
      <c r="N480">
        <f t="shared" si="14"/>
        <v>10800</v>
      </c>
      <c r="O480">
        <f t="shared" si="15"/>
        <v>3600</v>
      </c>
      <c r="P480">
        <f>IF(AND(F480="Nağd",G480&gt;5),M480*0.9,"0%")</f>
        <v>1620</v>
      </c>
      <c r="Q480" s="9" t="str">
        <f>IF(F480="Kredit",EOMONTH(B480,0),"")</f>
        <v/>
      </c>
      <c r="R480" s="17" t="str">
        <f>TEXT(B480,"dddd")</f>
        <v>Tuesday</v>
      </c>
    </row>
    <row r="481" spans="1:18">
      <c r="A481" s="5" t="s">
        <v>488</v>
      </c>
      <c r="B481" s="8">
        <v>46112</v>
      </c>
      <c r="C481" s="5" t="s">
        <v>967</v>
      </c>
      <c r="D481" s="5" t="s">
        <v>15</v>
      </c>
      <c r="E481" s="5" t="s">
        <v>966</v>
      </c>
      <c r="F481" s="5" t="s">
        <v>983</v>
      </c>
      <c r="G481" s="5">
        <v>4</v>
      </c>
      <c r="H481" s="5" t="s">
        <v>963</v>
      </c>
      <c r="I481" s="13">
        <v>551031528</v>
      </c>
      <c r="J481" s="10" t="s">
        <v>1464</v>
      </c>
      <c r="K481" t="str">
        <f>LEFT(C481,FIND(" ",C481)-1)&amp;"-"&amp;E481&amp;" "&amp;"Filialina çardırılma"</f>
        <v>Aysel-Bakı Filialina çardırılma</v>
      </c>
      <c r="L481">
        <f>VLOOKUP(D481,Anbar!$A$2:$B$5,2,FALSE)</f>
        <v>600</v>
      </c>
      <c r="M481">
        <f>VLOOKUP(D481,Anbar!$A$2:$C$5,3,FALSE)</f>
        <v>950</v>
      </c>
      <c r="N481">
        <f t="shared" si="14"/>
        <v>3800</v>
      </c>
      <c r="O481">
        <f t="shared" si="15"/>
        <v>1400</v>
      </c>
      <c r="P481" t="str">
        <f>IF(AND(F481="Nağd",G481&gt;5),M481*0.9,"0%")</f>
        <v>0%</v>
      </c>
      <c r="Q481" s="9" t="str">
        <f>IF(F481="Kredit",EOMONTH(B481,0),"")</f>
        <v/>
      </c>
      <c r="R481" s="17" t="str">
        <f>TEXT(B481,"dddd")</f>
        <v>Tuesday</v>
      </c>
    </row>
    <row r="482" spans="1:18">
      <c r="A482" s="5" t="s">
        <v>489</v>
      </c>
      <c r="B482" s="8">
        <v>46086</v>
      </c>
      <c r="C482" s="5" t="s">
        <v>976</v>
      </c>
      <c r="D482" s="5" t="s">
        <v>971</v>
      </c>
      <c r="E482" s="5" t="s">
        <v>9</v>
      </c>
      <c r="F482" s="5" t="s">
        <v>4</v>
      </c>
      <c r="G482" s="5">
        <v>7</v>
      </c>
      <c r="H482" s="5" t="s">
        <v>963</v>
      </c>
      <c r="I482" s="13">
        <v>518575766</v>
      </c>
      <c r="J482" s="10" t="s">
        <v>1465</v>
      </c>
      <c r="K482" t="str">
        <f>LEFT(C482,FIND(" ",C482)-1)&amp;"-"&amp;E482&amp;" "&amp;"Filialina çardırılma"</f>
        <v>Nərgin-Gence Filialina çardırılma</v>
      </c>
      <c r="L482">
        <f>VLOOKUP(D482,Anbar!$A$2:$B$5,2,FALSE)</f>
        <v>1200</v>
      </c>
      <c r="M482">
        <f>VLOOKUP(D482,Anbar!$A$2:$C$5,3,FALSE)</f>
        <v>1800</v>
      </c>
      <c r="N482">
        <f t="shared" si="14"/>
        <v>12600</v>
      </c>
      <c r="O482">
        <f t="shared" si="15"/>
        <v>4200</v>
      </c>
      <c r="P482" t="str">
        <f>IF(AND(F482="Nağd",G482&gt;5),M482*0.9,"0%")</f>
        <v>0%</v>
      </c>
      <c r="Q482" s="9">
        <f>IF(F482="Kredit",EOMONTH(B482,0),"")</f>
        <v>46112</v>
      </c>
      <c r="R482" s="17" t="str">
        <f>TEXT(B482,"dddd")</f>
        <v>Thursday</v>
      </c>
    </row>
    <row r="483" spans="1:18">
      <c r="A483" s="5" t="s">
        <v>490</v>
      </c>
      <c r="B483" s="8">
        <v>46082</v>
      </c>
      <c r="C483" s="5" t="s">
        <v>975</v>
      </c>
      <c r="D483" s="5" t="s">
        <v>20</v>
      </c>
      <c r="E483" s="5" t="s">
        <v>964</v>
      </c>
      <c r="F483" s="5" t="s">
        <v>965</v>
      </c>
      <c r="G483" s="5">
        <v>4</v>
      </c>
      <c r="H483" s="5" t="s">
        <v>963</v>
      </c>
      <c r="I483" s="13">
        <v>516297246</v>
      </c>
      <c r="J483" s="10" t="s">
        <v>1466</v>
      </c>
      <c r="K483" t="str">
        <f>LEFT(C483,FIND(" ",C483)-1)&amp;"-"&amp;E483&amp;" "&amp;"Filialina çardırılma"</f>
        <v>Murad-Sumqayıt Filialina çardırılma</v>
      </c>
      <c r="L483">
        <f>VLOOKUP(D483,Anbar!$A$2:$B$5,2,FALSE)</f>
        <v>15</v>
      </c>
      <c r="M483">
        <f>VLOOKUP(D483,Anbar!$A$2:$C$5,3,FALSE)</f>
        <v>45</v>
      </c>
      <c r="N483">
        <f t="shared" si="14"/>
        <v>180</v>
      </c>
      <c r="O483">
        <f t="shared" si="15"/>
        <v>120</v>
      </c>
      <c r="P483" t="str">
        <f>IF(AND(F483="Nağd",G483&gt;5),M483*0.9,"0%")</f>
        <v>0%</v>
      </c>
      <c r="Q483" s="9" t="str">
        <f>IF(F483="Kredit",EOMONTH(B483,0),"")</f>
        <v/>
      </c>
      <c r="R483" s="17" t="str">
        <f>TEXT(B483,"dddd")</f>
        <v>Sunday</v>
      </c>
    </row>
    <row r="484" spans="1:18">
      <c r="A484" s="5" t="s">
        <v>491</v>
      </c>
      <c r="B484" s="8">
        <v>46072</v>
      </c>
      <c r="C484" s="5" t="s">
        <v>967</v>
      </c>
      <c r="D484" s="5" t="s">
        <v>15</v>
      </c>
      <c r="E484" s="5" t="s">
        <v>9</v>
      </c>
      <c r="F484" s="5" t="s">
        <v>965</v>
      </c>
      <c r="G484" s="5">
        <v>4</v>
      </c>
      <c r="H484" s="5" t="s">
        <v>963</v>
      </c>
      <c r="I484" s="13">
        <v>558947332</v>
      </c>
      <c r="J484" s="10" t="s">
        <v>1467</v>
      </c>
      <c r="K484" t="str">
        <f>LEFT(C484,FIND(" ",C484)-1)&amp;"-"&amp;E484&amp;" "&amp;"Filialina çardırılma"</f>
        <v>Aysel-Gence Filialina çardırılma</v>
      </c>
      <c r="L484">
        <f>VLOOKUP(D484,Anbar!$A$2:$B$5,2,FALSE)</f>
        <v>600</v>
      </c>
      <c r="M484">
        <f>VLOOKUP(D484,Anbar!$A$2:$C$5,3,FALSE)</f>
        <v>950</v>
      </c>
      <c r="N484">
        <f t="shared" si="14"/>
        <v>3800</v>
      </c>
      <c r="O484">
        <f t="shared" si="15"/>
        <v>1400</v>
      </c>
      <c r="P484" t="str">
        <f>IF(AND(F484="Nağd",G484&gt;5),M484*0.9,"0%")</f>
        <v>0%</v>
      </c>
      <c r="Q484" s="9" t="str">
        <f>IF(F484="Kredit",EOMONTH(B484,0),"")</f>
        <v/>
      </c>
      <c r="R484" s="17" t="str">
        <f>TEXT(B484,"dddd")</f>
        <v>Thursday</v>
      </c>
    </row>
    <row r="485" spans="1:18">
      <c r="A485" s="5" t="s">
        <v>492</v>
      </c>
      <c r="B485" s="8">
        <v>46065</v>
      </c>
      <c r="C485" s="5" t="s">
        <v>6</v>
      </c>
      <c r="D485" s="5" t="s">
        <v>20</v>
      </c>
      <c r="E485" s="5" t="s">
        <v>964</v>
      </c>
      <c r="F485" s="5" t="s">
        <v>4</v>
      </c>
      <c r="G485" s="5">
        <v>7</v>
      </c>
      <c r="H485" s="5" t="s">
        <v>963</v>
      </c>
      <c r="I485" s="13">
        <v>774030729</v>
      </c>
      <c r="J485" s="10" t="s">
        <v>1468</v>
      </c>
      <c r="K485" t="str">
        <f>LEFT(C485,FIND(" ",C485)-1)&amp;"-"&amp;E485&amp;" "&amp;"Filialina çardırılma"</f>
        <v>Zaur-Sumqayıt Filialina çardırılma</v>
      </c>
      <c r="L485">
        <f>VLOOKUP(D485,Anbar!$A$2:$B$5,2,FALSE)</f>
        <v>15</v>
      </c>
      <c r="M485">
        <f>VLOOKUP(D485,Anbar!$A$2:$C$5,3,FALSE)</f>
        <v>45</v>
      </c>
      <c r="N485">
        <f t="shared" si="14"/>
        <v>315</v>
      </c>
      <c r="O485">
        <f t="shared" si="15"/>
        <v>210</v>
      </c>
      <c r="P485" t="str">
        <f>IF(AND(F485="Nağd",G485&gt;5),M485*0.9,"0%")</f>
        <v>0%</v>
      </c>
      <c r="Q485" s="9">
        <f>IF(F485="Kredit",EOMONTH(B485,0),"")</f>
        <v>46081</v>
      </c>
      <c r="R485" s="17" t="str">
        <f>TEXT(B485,"dddd")</f>
        <v>Thursday</v>
      </c>
    </row>
    <row r="486" spans="1:18">
      <c r="A486" s="5" t="s">
        <v>493</v>
      </c>
      <c r="B486" s="8">
        <v>46158</v>
      </c>
      <c r="C486" s="5" t="s">
        <v>967</v>
      </c>
      <c r="D486" s="5" t="s">
        <v>971</v>
      </c>
      <c r="E486" s="5" t="s">
        <v>9</v>
      </c>
      <c r="F486" s="5" t="s">
        <v>4</v>
      </c>
      <c r="G486" s="5">
        <v>5</v>
      </c>
      <c r="H486" s="5" t="s">
        <v>963</v>
      </c>
      <c r="I486" s="13">
        <v>551696062</v>
      </c>
      <c r="J486" s="10" t="s">
        <v>1469</v>
      </c>
      <c r="K486" t="str">
        <f>LEFT(C486,FIND(" ",C486)-1)&amp;"-"&amp;E486&amp;" "&amp;"Filialina çardırılma"</f>
        <v>Aysel-Gence Filialina çardırılma</v>
      </c>
      <c r="L486">
        <f>VLOOKUP(D486,Anbar!$A$2:$B$5,2,FALSE)</f>
        <v>1200</v>
      </c>
      <c r="M486">
        <f>VLOOKUP(D486,Anbar!$A$2:$C$5,3,FALSE)</f>
        <v>1800</v>
      </c>
      <c r="N486">
        <f t="shared" si="14"/>
        <v>9000</v>
      </c>
      <c r="O486">
        <f t="shared" si="15"/>
        <v>3000</v>
      </c>
      <c r="P486" t="str">
        <f>IF(AND(F486="Nağd",G486&gt;5),M486*0.9,"0%")</f>
        <v>0%</v>
      </c>
      <c r="Q486" s="9">
        <f>IF(F486="Kredit",EOMONTH(B486,0),"")</f>
        <v>46173</v>
      </c>
      <c r="R486" s="17" t="str">
        <f>TEXT(B486,"dddd")</f>
        <v>Saturday</v>
      </c>
    </row>
    <row r="487" spans="1:18">
      <c r="A487" s="5" t="s">
        <v>494</v>
      </c>
      <c r="B487" s="8">
        <v>46130</v>
      </c>
      <c r="C487" s="5" t="s">
        <v>978</v>
      </c>
      <c r="D487" s="5" t="s">
        <v>971</v>
      </c>
      <c r="E487" s="5" t="s">
        <v>982</v>
      </c>
      <c r="F487" s="5" t="s">
        <v>965</v>
      </c>
      <c r="G487" s="5">
        <v>6</v>
      </c>
      <c r="H487" s="5" t="s">
        <v>963</v>
      </c>
      <c r="I487" s="13">
        <v>511821611</v>
      </c>
      <c r="J487" s="10" t="s">
        <v>1470</v>
      </c>
      <c r="K487" t="str">
        <f>LEFT(C487,FIND(" ",C487)-1)&amp;"-"&amp;E487&amp;" "&amp;"Filialina çardırılma"</f>
        <v>Əli-Baki Filialina çardırılma</v>
      </c>
      <c r="L487">
        <f>VLOOKUP(D487,Anbar!$A$2:$B$5,2,FALSE)</f>
        <v>1200</v>
      </c>
      <c r="M487">
        <f>VLOOKUP(D487,Anbar!$A$2:$C$5,3,FALSE)</f>
        <v>1800</v>
      </c>
      <c r="N487">
        <f t="shared" si="14"/>
        <v>10800</v>
      </c>
      <c r="O487">
        <f t="shared" si="15"/>
        <v>3600</v>
      </c>
      <c r="P487">
        <f>IF(AND(F487="Nağd",G487&gt;5),M487*0.9,"0%")</f>
        <v>1620</v>
      </c>
      <c r="Q487" s="9" t="str">
        <f>IF(F487="Kredit",EOMONTH(B487,0),"")</f>
        <v/>
      </c>
      <c r="R487" s="17" t="str">
        <f>TEXT(B487,"dddd")</f>
        <v>Saturday</v>
      </c>
    </row>
    <row r="488" spans="1:18">
      <c r="A488" s="5" t="s">
        <v>495</v>
      </c>
      <c r="B488" s="8">
        <v>46139</v>
      </c>
      <c r="C488" s="5" t="s">
        <v>978</v>
      </c>
      <c r="D488" s="5" t="s">
        <v>20</v>
      </c>
      <c r="E488" s="5" t="s">
        <v>9</v>
      </c>
      <c r="F488" s="5" t="s">
        <v>4</v>
      </c>
      <c r="G488" s="5">
        <v>3</v>
      </c>
      <c r="H488" s="5" t="s">
        <v>963</v>
      </c>
      <c r="I488" s="13">
        <v>505407543</v>
      </c>
      <c r="J488" s="10" t="s">
        <v>1471</v>
      </c>
      <c r="K488" t="str">
        <f>LEFT(C488,FIND(" ",C488)-1)&amp;"-"&amp;E488&amp;" "&amp;"Filialina çardırılma"</f>
        <v>Əli-Gence Filialina çardırılma</v>
      </c>
      <c r="L488">
        <f>VLOOKUP(D488,Anbar!$A$2:$B$5,2,FALSE)</f>
        <v>15</v>
      </c>
      <c r="M488">
        <f>VLOOKUP(D488,Anbar!$A$2:$C$5,3,FALSE)</f>
        <v>45</v>
      </c>
      <c r="N488">
        <f t="shared" si="14"/>
        <v>135</v>
      </c>
      <c r="O488">
        <f t="shared" si="15"/>
        <v>90</v>
      </c>
      <c r="P488" t="str">
        <f>IF(AND(F488="Nağd",G488&gt;5),M488*0.9,"0%")</f>
        <v>0%</v>
      </c>
      <c r="Q488" s="9">
        <f>IF(F488="Kredit",EOMONTH(B488,0),"")</f>
        <v>46142</v>
      </c>
      <c r="R488" s="17" t="str">
        <f>TEXT(B488,"dddd")</f>
        <v>Monday</v>
      </c>
    </row>
    <row r="489" spans="1:18">
      <c r="A489" s="5" t="s">
        <v>496</v>
      </c>
      <c r="B489" s="8">
        <v>46151</v>
      </c>
      <c r="C489" s="5" t="s">
        <v>967</v>
      </c>
      <c r="D489" s="5" t="s">
        <v>15</v>
      </c>
      <c r="E489" s="5" t="s">
        <v>9</v>
      </c>
      <c r="F489" s="5" t="s">
        <v>965</v>
      </c>
      <c r="G489" s="5">
        <v>6</v>
      </c>
      <c r="H489" s="5" t="s">
        <v>963</v>
      </c>
      <c r="I489" s="13">
        <v>772158761</v>
      </c>
      <c r="J489" s="10" t="s">
        <v>1472</v>
      </c>
      <c r="K489" t="str">
        <f>LEFT(C489,FIND(" ",C489)-1)&amp;"-"&amp;E489&amp;" "&amp;"Filialina çardırılma"</f>
        <v>Aysel-Gence Filialina çardırılma</v>
      </c>
      <c r="L489">
        <f>VLOOKUP(D489,Anbar!$A$2:$B$5,2,FALSE)</f>
        <v>600</v>
      </c>
      <c r="M489">
        <f>VLOOKUP(D489,Anbar!$A$2:$C$5,3,FALSE)</f>
        <v>950</v>
      </c>
      <c r="N489">
        <f t="shared" si="14"/>
        <v>5700</v>
      </c>
      <c r="O489">
        <f t="shared" si="15"/>
        <v>2100</v>
      </c>
      <c r="P489">
        <f>IF(AND(F489="Nağd",G489&gt;5),M489*0.9,"0%")</f>
        <v>855</v>
      </c>
      <c r="Q489" s="9" t="str">
        <f>IF(F489="Kredit",EOMONTH(B489,0),"")</f>
        <v/>
      </c>
      <c r="R489" s="17" t="str">
        <f>TEXT(B489,"dddd")</f>
        <v>Saturday</v>
      </c>
    </row>
    <row r="490" spans="1:18">
      <c r="A490" s="5" t="s">
        <v>497</v>
      </c>
      <c r="B490" s="8">
        <v>46032</v>
      </c>
      <c r="C490" s="5" t="s">
        <v>975</v>
      </c>
      <c r="D490" s="5" t="s">
        <v>20</v>
      </c>
      <c r="E490" s="5" t="s">
        <v>9</v>
      </c>
      <c r="F490" s="5" t="s">
        <v>4</v>
      </c>
      <c r="G490" s="5">
        <v>6</v>
      </c>
      <c r="H490" s="5" t="s">
        <v>963</v>
      </c>
      <c r="I490" s="13">
        <v>776192553</v>
      </c>
      <c r="J490" s="10" t="s">
        <v>1473</v>
      </c>
      <c r="K490" t="str">
        <f>LEFT(C490,FIND(" ",C490)-1)&amp;"-"&amp;E490&amp;" "&amp;"Filialina çardırılma"</f>
        <v>Murad-Gence Filialina çardırılma</v>
      </c>
      <c r="L490">
        <f>VLOOKUP(D490,Anbar!$A$2:$B$5,2,FALSE)</f>
        <v>15</v>
      </c>
      <c r="M490">
        <f>VLOOKUP(D490,Anbar!$A$2:$C$5,3,FALSE)</f>
        <v>45</v>
      </c>
      <c r="N490">
        <f t="shared" si="14"/>
        <v>270</v>
      </c>
      <c r="O490">
        <f t="shared" si="15"/>
        <v>180</v>
      </c>
      <c r="P490" t="str">
        <f>IF(AND(F490="Nağd",G490&gt;5),M490*0.9,"0%")</f>
        <v>0%</v>
      </c>
      <c r="Q490" s="9">
        <f>IF(F490="Kredit",EOMONTH(B490,0),"")</f>
        <v>46053</v>
      </c>
      <c r="R490" s="17" t="str">
        <f>TEXT(B490,"dddd")</f>
        <v>Saturday</v>
      </c>
    </row>
    <row r="491" spans="1:18">
      <c r="A491" s="5" t="s">
        <v>498</v>
      </c>
      <c r="B491" s="8">
        <v>46105</v>
      </c>
      <c r="C491" s="5" t="s">
        <v>967</v>
      </c>
      <c r="D491" s="5" t="s">
        <v>968</v>
      </c>
      <c r="E491" s="5" t="s">
        <v>983</v>
      </c>
      <c r="F491" s="5" t="s">
        <v>7</v>
      </c>
      <c r="G491" s="5">
        <v>2</v>
      </c>
      <c r="H491" s="5" t="s">
        <v>963</v>
      </c>
      <c r="I491" s="13">
        <v>777509819</v>
      </c>
      <c r="J491" s="10" t="s">
        <v>1474</v>
      </c>
      <c r="K491" t="str">
        <f>LEFT(C491,FIND(" ",C491)-1)&amp;"-"&amp;E491&amp;" "&amp;"Filialina çardırılma"</f>
        <v>Aysel-Naməlum Filialina çardırılma</v>
      </c>
      <c r="L491">
        <f>VLOOKUP(D491,Anbar!$A$2:$B$5,2,FALSE)</f>
        <v>400</v>
      </c>
      <c r="M491">
        <f>VLOOKUP(D491,Anbar!$A$2:$C$5,3,FALSE)</f>
        <v>650</v>
      </c>
      <c r="N491">
        <f t="shared" si="14"/>
        <v>1300</v>
      </c>
      <c r="O491">
        <f t="shared" si="15"/>
        <v>500</v>
      </c>
      <c r="P491" t="str">
        <f>IF(AND(F491="Nağd",G491&gt;5),M491*0.9,"0%")</f>
        <v>0%</v>
      </c>
      <c r="Q491" s="9" t="str">
        <f>IF(F491="Kredit",EOMONTH(B491,0),"")</f>
        <v/>
      </c>
      <c r="R491" s="17" t="str">
        <f>TEXT(B491,"dddd")</f>
        <v>Tuesday</v>
      </c>
    </row>
    <row r="492" spans="1:18">
      <c r="A492" s="5" t="s">
        <v>499</v>
      </c>
      <c r="B492" s="8">
        <v>46133</v>
      </c>
      <c r="C492" s="5" t="s">
        <v>979</v>
      </c>
      <c r="D492" s="5" t="s">
        <v>15</v>
      </c>
      <c r="E492" s="5" t="s">
        <v>964</v>
      </c>
      <c r="F492" s="5" t="s">
        <v>4</v>
      </c>
      <c r="G492" s="5">
        <v>8</v>
      </c>
      <c r="H492" s="5" t="s">
        <v>963</v>
      </c>
      <c r="I492" s="13">
        <v>558614901</v>
      </c>
      <c r="J492" s="10" t="s">
        <v>1475</v>
      </c>
      <c r="K492" t="str">
        <f>LEFT(C492,FIND(" ",C492)-1)&amp;"-"&amp;E492&amp;" "&amp;"Filialina çardırılma"</f>
        <v>Leyla-Sumqayıt Filialina çardırılma</v>
      </c>
      <c r="L492">
        <f>VLOOKUP(D492,Anbar!$A$2:$B$5,2,FALSE)</f>
        <v>600</v>
      </c>
      <c r="M492">
        <f>VLOOKUP(D492,Anbar!$A$2:$C$5,3,FALSE)</f>
        <v>950</v>
      </c>
      <c r="N492">
        <f t="shared" si="14"/>
        <v>7600</v>
      </c>
      <c r="O492">
        <f t="shared" si="15"/>
        <v>2800</v>
      </c>
      <c r="P492" t="str">
        <f>IF(AND(F492="Nağd",G492&gt;5),M492*0.9,"0%")</f>
        <v>0%</v>
      </c>
      <c r="Q492" s="9">
        <f>IF(F492="Kredit",EOMONTH(B492,0),"")</f>
        <v>46142</v>
      </c>
      <c r="R492" s="17" t="str">
        <f>TEXT(B492,"dddd")</f>
        <v>Tuesday</v>
      </c>
    </row>
    <row r="493" spans="1:18">
      <c r="A493" s="5" t="s">
        <v>500</v>
      </c>
      <c r="B493" s="8">
        <v>46043</v>
      </c>
      <c r="C493" s="5" t="s">
        <v>977</v>
      </c>
      <c r="D493" s="5" t="s">
        <v>20</v>
      </c>
      <c r="E493" s="5" t="s">
        <v>9</v>
      </c>
      <c r="F493" s="5" t="s">
        <v>4</v>
      </c>
      <c r="G493" s="5">
        <v>2</v>
      </c>
      <c r="H493" s="5" t="s">
        <v>963</v>
      </c>
      <c r="I493" s="13">
        <v>506166665</v>
      </c>
      <c r="J493" s="10" t="s">
        <v>1476</v>
      </c>
      <c r="K493" t="str">
        <f>LEFT(C493,FIND(" ",C493)-1)&amp;"-"&amp;E493&amp;" "&amp;"Filialina çardırılma"</f>
        <v>Elnur-Gence Filialina çardırılma</v>
      </c>
      <c r="L493">
        <f>VLOOKUP(D493,Anbar!$A$2:$B$5,2,FALSE)</f>
        <v>15</v>
      </c>
      <c r="M493">
        <f>VLOOKUP(D493,Anbar!$A$2:$C$5,3,FALSE)</f>
        <v>45</v>
      </c>
      <c r="N493">
        <f t="shared" si="14"/>
        <v>90</v>
      </c>
      <c r="O493">
        <f t="shared" si="15"/>
        <v>60</v>
      </c>
      <c r="P493" t="str">
        <f>IF(AND(F493="Nağd",G493&gt;5),M493*0.9,"0%")</f>
        <v>0%</v>
      </c>
      <c r="Q493" s="9">
        <f>IF(F493="Kredit",EOMONTH(B493,0),"")</f>
        <v>46053</v>
      </c>
      <c r="R493" s="17" t="str">
        <f>TEXT(B493,"dddd")</f>
        <v>Wednesday</v>
      </c>
    </row>
    <row r="494" spans="1:18">
      <c r="A494" s="5" t="s">
        <v>501</v>
      </c>
      <c r="B494" s="8">
        <v>46142</v>
      </c>
      <c r="C494" s="5" t="s">
        <v>974</v>
      </c>
      <c r="D494" s="5" t="s">
        <v>20</v>
      </c>
      <c r="E494" s="5" t="s">
        <v>981</v>
      </c>
      <c r="F494" s="5" t="s">
        <v>965</v>
      </c>
      <c r="G494" s="5">
        <v>3</v>
      </c>
      <c r="H494" s="5" t="s">
        <v>963</v>
      </c>
      <c r="I494" s="13">
        <v>709665474</v>
      </c>
      <c r="J494" s="10" t="s">
        <v>1477</v>
      </c>
      <c r="K494" t="str">
        <f>LEFT(C494,FIND(" ",C494)-1)&amp;"-"&amp;E494&amp;" "&amp;"Filialina çardırılma"</f>
        <v>Ramil-Gəncə Filialina çardırılma</v>
      </c>
      <c r="L494">
        <f>VLOOKUP(D494,Anbar!$A$2:$B$5,2,FALSE)</f>
        <v>15</v>
      </c>
      <c r="M494">
        <f>VLOOKUP(D494,Anbar!$A$2:$C$5,3,FALSE)</f>
        <v>45</v>
      </c>
      <c r="N494">
        <f t="shared" si="14"/>
        <v>135</v>
      </c>
      <c r="O494">
        <f t="shared" si="15"/>
        <v>90</v>
      </c>
      <c r="P494" t="str">
        <f>IF(AND(F494="Nağd",G494&gt;5),M494*0.9,"0%")</f>
        <v>0%</v>
      </c>
      <c r="Q494" s="9" t="str">
        <f>IF(F494="Kredit",EOMONTH(B494,0),"")</f>
        <v/>
      </c>
      <c r="R494" s="17" t="str">
        <f>TEXT(B494,"dddd")</f>
        <v>Thursday</v>
      </c>
    </row>
    <row r="495" spans="1:18">
      <c r="A495" s="5" t="s">
        <v>502</v>
      </c>
      <c r="B495" s="8">
        <v>46160</v>
      </c>
      <c r="C495" s="5" t="s">
        <v>976</v>
      </c>
      <c r="D495" s="5" t="s">
        <v>968</v>
      </c>
      <c r="E495" s="5" t="s">
        <v>9</v>
      </c>
      <c r="F495" s="5" t="s">
        <v>4</v>
      </c>
      <c r="G495" s="5">
        <v>6</v>
      </c>
      <c r="H495" s="5" t="s">
        <v>963</v>
      </c>
      <c r="I495" s="13">
        <v>512414630</v>
      </c>
      <c r="J495" s="10" t="s">
        <v>1478</v>
      </c>
      <c r="K495" t="str">
        <f>LEFT(C495,FIND(" ",C495)-1)&amp;"-"&amp;E495&amp;" "&amp;"Filialina çardırılma"</f>
        <v>Nərgin-Gence Filialina çardırılma</v>
      </c>
      <c r="L495">
        <f>VLOOKUP(D495,Anbar!$A$2:$B$5,2,FALSE)</f>
        <v>400</v>
      </c>
      <c r="M495">
        <f>VLOOKUP(D495,Anbar!$A$2:$C$5,3,FALSE)</f>
        <v>650</v>
      </c>
      <c r="N495">
        <f t="shared" si="14"/>
        <v>3900</v>
      </c>
      <c r="O495">
        <f t="shared" si="15"/>
        <v>1500</v>
      </c>
      <c r="P495" t="str">
        <f>IF(AND(F495="Nağd",G495&gt;5),M495*0.9,"0%")</f>
        <v>0%</v>
      </c>
      <c r="Q495" s="9">
        <f>IF(F495="Kredit",EOMONTH(B495,0),"")</f>
        <v>46173</v>
      </c>
      <c r="R495" s="17" t="str">
        <f>TEXT(B495,"dddd")</f>
        <v>Monday</v>
      </c>
    </row>
    <row r="496" spans="1:18">
      <c r="A496" s="5" t="s">
        <v>503</v>
      </c>
      <c r="B496" s="8">
        <v>46040</v>
      </c>
      <c r="C496" s="5" t="s">
        <v>979</v>
      </c>
      <c r="D496" s="5" t="s">
        <v>15</v>
      </c>
      <c r="E496" s="5" t="s">
        <v>9</v>
      </c>
      <c r="F496" s="5" t="s">
        <v>965</v>
      </c>
      <c r="G496" s="5">
        <v>2</v>
      </c>
      <c r="H496" s="5" t="s">
        <v>963</v>
      </c>
      <c r="I496" s="13">
        <v>518015203</v>
      </c>
      <c r="J496" s="10" t="s">
        <v>1479</v>
      </c>
      <c r="K496" t="str">
        <f>LEFT(C496,FIND(" ",C496)-1)&amp;"-"&amp;E496&amp;" "&amp;"Filialina çardırılma"</f>
        <v>Leyla-Gence Filialina çardırılma</v>
      </c>
      <c r="L496">
        <f>VLOOKUP(D496,Anbar!$A$2:$B$5,2,FALSE)</f>
        <v>600</v>
      </c>
      <c r="M496">
        <f>VLOOKUP(D496,Anbar!$A$2:$C$5,3,FALSE)</f>
        <v>950</v>
      </c>
      <c r="N496">
        <f t="shared" si="14"/>
        <v>1900</v>
      </c>
      <c r="O496">
        <f t="shared" si="15"/>
        <v>700</v>
      </c>
      <c r="P496" t="str">
        <f>IF(AND(F496="Nağd",G496&gt;5),M496*0.9,"0%")</f>
        <v>0%</v>
      </c>
      <c r="Q496" s="9" t="str">
        <f>IF(F496="Kredit",EOMONTH(B496,0),"")</f>
        <v/>
      </c>
      <c r="R496" s="17" t="str">
        <f>TEXT(B496,"dddd")</f>
        <v>Sunday</v>
      </c>
    </row>
    <row r="497" spans="1:18">
      <c r="A497" s="5" t="s">
        <v>504</v>
      </c>
      <c r="B497" s="8">
        <v>46089</v>
      </c>
      <c r="C497" s="5" t="s">
        <v>979</v>
      </c>
      <c r="D497" s="5" t="s">
        <v>971</v>
      </c>
      <c r="E497" s="5" t="s">
        <v>966</v>
      </c>
      <c r="F497" s="5" t="s">
        <v>965</v>
      </c>
      <c r="G497" s="5">
        <v>9</v>
      </c>
      <c r="H497" s="5" t="s">
        <v>963</v>
      </c>
      <c r="I497" s="13">
        <v>772421920</v>
      </c>
      <c r="J497" s="10" t="s">
        <v>1480</v>
      </c>
      <c r="K497" t="str">
        <f>LEFT(C497,FIND(" ",C497)-1)&amp;"-"&amp;E497&amp;" "&amp;"Filialina çardırılma"</f>
        <v>Leyla-Bakı Filialina çardırılma</v>
      </c>
      <c r="L497">
        <f>VLOOKUP(D497,Anbar!$A$2:$B$5,2,FALSE)</f>
        <v>1200</v>
      </c>
      <c r="M497">
        <f>VLOOKUP(D497,Anbar!$A$2:$C$5,3,FALSE)</f>
        <v>1800</v>
      </c>
      <c r="N497">
        <f t="shared" si="14"/>
        <v>16200</v>
      </c>
      <c r="O497">
        <f t="shared" si="15"/>
        <v>5400</v>
      </c>
      <c r="P497">
        <f>IF(AND(F497="Nağd",G497&gt;5),M497*0.9,"0%")</f>
        <v>1620</v>
      </c>
      <c r="Q497" s="9" t="str">
        <f>IF(F497="Kredit",EOMONTH(B497,0),"")</f>
        <v/>
      </c>
      <c r="R497" s="17" t="str">
        <f>TEXT(B497,"dddd")</f>
        <v>Sunday</v>
      </c>
    </row>
    <row r="498" spans="1:18">
      <c r="A498" s="5" t="s">
        <v>505</v>
      </c>
      <c r="B498" s="8">
        <v>46041</v>
      </c>
      <c r="C498" s="5" t="s">
        <v>975</v>
      </c>
      <c r="D498" s="5" t="s">
        <v>15</v>
      </c>
      <c r="E498" s="5" t="s">
        <v>964</v>
      </c>
      <c r="F498" s="5" t="s">
        <v>965</v>
      </c>
      <c r="G498" s="5">
        <v>2</v>
      </c>
      <c r="H498" s="5" t="s">
        <v>963</v>
      </c>
      <c r="I498" s="13">
        <v>703943005</v>
      </c>
      <c r="J498" s="10" t="s">
        <v>1481</v>
      </c>
      <c r="K498" t="str">
        <f>LEFT(C498,FIND(" ",C498)-1)&amp;"-"&amp;E498&amp;" "&amp;"Filialina çardırılma"</f>
        <v>Murad-Sumqayıt Filialina çardırılma</v>
      </c>
      <c r="L498">
        <f>VLOOKUP(D498,Anbar!$A$2:$B$5,2,FALSE)</f>
        <v>600</v>
      </c>
      <c r="M498">
        <f>VLOOKUP(D498,Anbar!$A$2:$C$5,3,FALSE)</f>
        <v>950</v>
      </c>
      <c r="N498">
        <f t="shared" si="14"/>
        <v>1900</v>
      </c>
      <c r="O498">
        <f t="shared" si="15"/>
        <v>700</v>
      </c>
      <c r="P498" t="str">
        <f>IF(AND(F498="Nağd",G498&gt;5),M498*0.9,"0%")</f>
        <v>0%</v>
      </c>
      <c r="Q498" s="9" t="str">
        <f>IF(F498="Kredit",EOMONTH(B498,0),"")</f>
        <v/>
      </c>
      <c r="R498" s="17" t="str">
        <f>TEXT(B498,"dddd")</f>
        <v>Monday</v>
      </c>
    </row>
    <row r="499" spans="1:18">
      <c r="A499" s="5" t="s">
        <v>506</v>
      </c>
      <c r="B499" s="8">
        <v>46105</v>
      </c>
      <c r="C499" s="5" t="s">
        <v>977</v>
      </c>
      <c r="D499" s="5" t="s">
        <v>971</v>
      </c>
      <c r="E499" s="5" t="s">
        <v>9</v>
      </c>
      <c r="F499" s="5" t="s">
        <v>7</v>
      </c>
      <c r="G499" s="5">
        <v>6</v>
      </c>
      <c r="H499" s="5" t="s">
        <v>963</v>
      </c>
      <c r="I499" s="13">
        <v>704380283</v>
      </c>
      <c r="J499" s="10" t="s">
        <v>1482</v>
      </c>
      <c r="K499" t="str">
        <f>LEFT(C499,FIND(" ",C499)-1)&amp;"-"&amp;E499&amp;" "&amp;"Filialina çardırılma"</f>
        <v>Elnur-Gence Filialina çardırılma</v>
      </c>
      <c r="L499">
        <f>VLOOKUP(D499,Anbar!$A$2:$B$5,2,FALSE)</f>
        <v>1200</v>
      </c>
      <c r="M499">
        <f>VLOOKUP(D499,Anbar!$A$2:$C$5,3,FALSE)</f>
        <v>1800</v>
      </c>
      <c r="N499">
        <f t="shared" si="14"/>
        <v>10800</v>
      </c>
      <c r="O499">
        <f t="shared" si="15"/>
        <v>3600</v>
      </c>
      <c r="P499" t="str">
        <f>IF(AND(F499="Nağd",G499&gt;5),M499*0.9,"0%")</f>
        <v>0%</v>
      </c>
      <c r="Q499" s="9" t="str">
        <f>IF(F499="Kredit",EOMONTH(B499,0),"")</f>
        <v/>
      </c>
      <c r="R499" s="17" t="str">
        <f>TEXT(B499,"dddd")</f>
        <v>Tuesday</v>
      </c>
    </row>
    <row r="500" spans="1:18">
      <c r="A500" s="5" t="s">
        <v>507</v>
      </c>
      <c r="B500" s="8">
        <v>46047</v>
      </c>
      <c r="C500" s="5" t="s">
        <v>978</v>
      </c>
      <c r="D500" s="5" t="s">
        <v>968</v>
      </c>
      <c r="E500" s="5" t="s">
        <v>982</v>
      </c>
      <c r="F500" s="5" t="s">
        <v>4</v>
      </c>
      <c r="G500" s="5">
        <v>8</v>
      </c>
      <c r="H500" s="5" t="s">
        <v>963</v>
      </c>
      <c r="I500" s="13">
        <v>558192076</v>
      </c>
      <c r="J500" s="10" t="s">
        <v>1483</v>
      </c>
      <c r="K500" t="str">
        <f>LEFT(C500,FIND(" ",C500)-1)&amp;"-"&amp;E500&amp;" "&amp;"Filialina çardırılma"</f>
        <v>Əli-Baki Filialina çardırılma</v>
      </c>
      <c r="L500">
        <f>VLOOKUP(D500,Anbar!$A$2:$B$5,2,FALSE)</f>
        <v>400</v>
      </c>
      <c r="M500">
        <f>VLOOKUP(D500,Anbar!$A$2:$C$5,3,FALSE)</f>
        <v>650</v>
      </c>
      <c r="N500">
        <f t="shared" si="14"/>
        <v>5200</v>
      </c>
      <c r="O500">
        <f t="shared" si="15"/>
        <v>2000</v>
      </c>
      <c r="P500" t="str">
        <f>IF(AND(F500="Nağd",G500&gt;5),M500*0.9,"0%")</f>
        <v>0%</v>
      </c>
      <c r="Q500" s="9">
        <f>IF(F500="Kredit",EOMONTH(B500,0),"")</f>
        <v>46053</v>
      </c>
      <c r="R500" s="17" t="str">
        <f>TEXT(B500,"dddd")</f>
        <v>Sunday</v>
      </c>
    </row>
    <row r="501" spans="1:18">
      <c r="A501" s="5" t="s">
        <v>508</v>
      </c>
      <c r="B501" s="8">
        <v>46035</v>
      </c>
      <c r="C501" s="5" t="s">
        <v>977</v>
      </c>
      <c r="D501" s="5" t="s">
        <v>971</v>
      </c>
      <c r="E501" s="5" t="s">
        <v>964</v>
      </c>
      <c r="F501" s="5" t="s">
        <v>965</v>
      </c>
      <c r="G501" s="5">
        <v>1</v>
      </c>
      <c r="H501" s="5" t="s">
        <v>963</v>
      </c>
      <c r="I501" s="13">
        <v>550138220</v>
      </c>
      <c r="J501" s="10" t="s">
        <v>1484</v>
      </c>
      <c r="K501" t="str">
        <f>LEFT(C501,FIND(" ",C501)-1)&amp;"-"&amp;E501&amp;" "&amp;"Filialina çardırılma"</f>
        <v>Elnur-Sumqayıt Filialina çardırılma</v>
      </c>
      <c r="L501">
        <f>VLOOKUP(D501,Anbar!$A$2:$B$5,2,FALSE)</f>
        <v>1200</v>
      </c>
      <c r="M501">
        <f>VLOOKUP(D501,Anbar!$A$2:$C$5,3,FALSE)</f>
        <v>1800</v>
      </c>
      <c r="N501">
        <f t="shared" si="14"/>
        <v>1800</v>
      </c>
      <c r="O501">
        <f t="shared" si="15"/>
        <v>600</v>
      </c>
      <c r="P501" t="str">
        <f>IF(AND(F501="Nağd",G501&gt;5),M501*0.9,"0%")</f>
        <v>0%</v>
      </c>
      <c r="Q501" s="9" t="str">
        <f>IF(F501="Kredit",EOMONTH(B501,0),"")</f>
        <v/>
      </c>
      <c r="R501" s="17" t="str">
        <f>TEXT(B501,"dddd")</f>
        <v>Tuesday</v>
      </c>
    </row>
    <row r="502" spans="1:18">
      <c r="A502" s="5" t="s">
        <v>509</v>
      </c>
      <c r="B502" s="8">
        <v>46122</v>
      </c>
      <c r="C502" s="5" t="s">
        <v>977</v>
      </c>
      <c r="D502" s="5" t="s">
        <v>971</v>
      </c>
      <c r="E502" s="5" t="s">
        <v>964</v>
      </c>
      <c r="F502" s="5" t="s">
        <v>965</v>
      </c>
      <c r="G502" s="5">
        <v>7</v>
      </c>
      <c r="H502" s="5" t="s">
        <v>963</v>
      </c>
      <c r="I502" s="13">
        <v>700314844</v>
      </c>
      <c r="J502" s="10" t="s">
        <v>1485</v>
      </c>
      <c r="K502" t="str">
        <f>LEFT(C502,FIND(" ",C502)-1)&amp;"-"&amp;E502&amp;" "&amp;"Filialina çardırılma"</f>
        <v>Elnur-Sumqayıt Filialina çardırılma</v>
      </c>
      <c r="L502">
        <f>VLOOKUP(D502,Anbar!$A$2:$B$5,2,FALSE)</f>
        <v>1200</v>
      </c>
      <c r="M502">
        <f>VLOOKUP(D502,Anbar!$A$2:$C$5,3,FALSE)</f>
        <v>1800</v>
      </c>
      <c r="N502">
        <f t="shared" si="14"/>
        <v>12600</v>
      </c>
      <c r="O502">
        <f t="shared" si="15"/>
        <v>4200</v>
      </c>
      <c r="P502">
        <f>IF(AND(F502="Nağd",G502&gt;5),M502*0.9,"0%")</f>
        <v>1620</v>
      </c>
      <c r="Q502" s="9" t="str">
        <f>IF(F502="Kredit",EOMONTH(B502,0),"")</f>
        <v/>
      </c>
      <c r="R502" s="17" t="str">
        <f>TEXT(B502,"dddd")</f>
        <v>Friday</v>
      </c>
    </row>
    <row r="503" spans="1:18">
      <c r="A503" s="5" t="s">
        <v>510</v>
      </c>
      <c r="B503" s="8">
        <v>46089</v>
      </c>
      <c r="C503" s="5" t="s">
        <v>967</v>
      </c>
      <c r="D503" s="5" t="s">
        <v>15</v>
      </c>
      <c r="E503" s="5" t="s">
        <v>964</v>
      </c>
      <c r="F503" s="5" t="s">
        <v>965</v>
      </c>
      <c r="G503" s="5">
        <v>6</v>
      </c>
      <c r="H503" s="5" t="s">
        <v>963</v>
      </c>
      <c r="I503" s="13">
        <v>776150389</v>
      </c>
      <c r="J503" s="10" t="s">
        <v>1486</v>
      </c>
      <c r="K503" t="str">
        <f>LEFT(C503,FIND(" ",C503)-1)&amp;"-"&amp;E503&amp;" "&amp;"Filialina çardırılma"</f>
        <v>Aysel-Sumqayıt Filialina çardırılma</v>
      </c>
      <c r="L503">
        <f>VLOOKUP(D503,Anbar!$A$2:$B$5,2,FALSE)</f>
        <v>600</v>
      </c>
      <c r="M503">
        <f>VLOOKUP(D503,Anbar!$A$2:$C$5,3,FALSE)</f>
        <v>950</v>
      </c>
      <c r="N503">
        <f t="shared" si="14"/>
        <v>5700</v>
      </c>
      <c r="O503">
        <f t="shared" si="15"/>
        <v>2100</v>
      </c>
      <c r="P503">
        <f>IF(AND(F503="Nağd",G503&gt;5),M503*0.9,"0%")</f>
        <v>855</v>
      </c>
      <c r="Q503" s="9" t="str">
        <f>IF(F503="Kredit",EOMONTH(B503,0),"")</f>
        <v/>
      </c>
      <c r="R503" s="17" t="str">
        <f>TEXT(B503,"dddd")</f>
        <v>Sunday</v>
      </c>
    </row>
    <row r="504" spans="1:18">
      <c r="A504" s="5" t="s">
        <v>511</v>
      </c>
      <c r="B504" s="8">
        <v>46173</v>
      </c>
      <c r="C504" s="5" t="s">
        <v>976</v>
      </c>
      <c r="D504" s="5" t="s">
        <v>968</v>
      </c>
      <c r="E504" s="5" t="s">
        <v>964</v>
      </c>
      <c r="F504" s="5" t="s">
        <v>4</v>
      </c>
      <c r="G504" s="5">
        <v>4</v>
      </c>
      <c r="H504" s="5" t="s">
        <v>963</v>
      </c>
      <c r="I504" s="13">
        <v>500831809</v>
      </c>
      <c r="J504" s="10" t="s">
        <v>1487</v>
      </c>
      <c r="K504" t="str">
        <f>LEFT(C504,FIND(" ",C504)-1)&amp;"-"&amp;E504&amp;" "&amp;"Filialina çardırılma"</f>
        <v>Nərgin-Sumqayıt Filialina çardırılma</v>
      </c>
      <c r="L504">
        <f>VLOOKUP(D504,Anbar!$A$2:$B$5,2,FALSE)</f>
        <v>400</v>
      </c>
      <c r="M504">
        <f>VLOOKUP(D504,Anbar!$A$2:$C$5,3,FALSE)</f>
        <v>650</v>
      </c>
      <c r="N504">
        <f t="shared" si="14"/>
        <v>2600</v>
      </c>
      <c r="O504">
        <f t="shared" si="15"/>
        <v>1000</v>
      </c>
      <c r="P504" t="str">
        <f>IF(AND(F504="Nağd",G504&gt;5),M504*0.9,"0%")</f>
        <v>0%</v>
      </c>
      <c r="Q504" s="9">
        <f>IF(F504="Kredit",EOMONTH(B504,0),"")</f>
        <v>46173</v>
      </c>
      <c r="R504" s="17" t="str">
        <f>TEXT(B504,"dddd")</f>
        <v>Sunday</v>
      </c>
    </row>
    <row r="505" spans="1:18">
      <c r="A505" s="5" t="s">
        <v>512</v>
      </c>
      <c r="B505" s="8">
        <v>46149</v>
      </c>
      <c r="C505" s="5" t="s">
        <v>6</v>
      </c>
      <c r="D505" s="5" t="s">
        <v>968</v>
      </c>
      <c r="E505" s="5" t="s">
        <v>9</v>
      </c>
      <c r="F505" s="5" t="s">
        <v>7</v>
      </c>
      <c r="G505" s="5">
        <v>7</v>
      </c>
      <c r="H505" s="5" t="s">
        <v>963</v>
      </c>
      <c r="I505" s="13">
        <v>554861333</v>
      </c>
      <c r="J505" s="10" t="s">
        <v>1488</v>
      </c>
      <c r="K505" t="str">
        <f>LEFT(C505,FIND(" ",C505)-1)&amp;"-"&amp;E505&amp;" "&amp;"Filialina çardırılma"</f>
        <v>Zaur-Gence Filialina çardırılma</v>
      </c>
      <c r="L505">
        <f>VLOOKUP(D505,Anbar!$A$2:$B$5,2,FALSE)</f>
        <v>400</v>
      </c>
      <c r="M505">
        <f>VLOOKUP(D505,Anbar!$A$2:$C$5,3,FALSE)</f>
        <v>650</v>
      </c>
      <c r="N505">
        <f t="shared" si="14"/>
        <v>4550</v>
      </c>
      <c r="O505">
        <f t="shared" si="15"/>
        <v>1750</v>
      </c>
      <c r="P505" t="str">
        <f>IF(AND(F505="Nağd",G505&gt;5),M505*0.9,"0%")</f>
        <v>0%</v>
      </c>
      <c r="Q505" s="9" t="str">
        <f>IF(F505="Kredit",EOMONTH(B505,0),"")</f>
        <v/>
      </c>
      <c r="R505" s="17" t="str">
        <f>TEXT(B505,"dddd")</f>
        <v>Thursday</v>
      </c>
    </row>
    <row r="506" spans="1:18">
      <c r="A506" s="5" t="s">
        <v>513</v>
      </c>
      <c r="B506" s="8">
        <v>46047</v>
      </c>
      <c r="C506" s="5" t="s">
        <v>977</v>
      </c>
      <c r="D506" s="5" t="s">
        <v>15</v>
      </c>
      <c r="E506" s="5" t="s">
        <v>964</v>
      </c>
      <c r="F506" s="5" t="s">
        <v>4</v>
      </c>
      <c r="G506" s="5">
        <v>4</v>
      </c>
      <c r="H506" s="5" t="s">
        <v>963</v>
      </c>
      <c r="I506" s="13">
        <v>701806223</v>
      </c>
      <c r="J506" s="10" t="s">
        <v>1489</v>
      </c>
      <c r="K506" t="str">
        <f>LEFT(C506,FIND(" ",C506)-1)&amp;"-"&amp;E506&amp;" "&amp;"Filialina çardırılma"</f>
        <v>Elnur-Sumqayıt Filialina çardırılma</v>
      </c>
      <c r="L506">
        <f>VLOOKUP(D506,Anbar!$A$2:$B$5,2,FALSE)</f>
        <v>600</v>
      </c>
      <c r="M506">
        <f>VLOOKUP(D506,Anbar!$A$2:$C$5,3,FALSE)</f>
        <v>950</v>
      </c>
      <c r="N506">
        <f t="shared" si="14"/>
        <v>3800</v>
      </c>
      <c r="O506">
        <f t="shared" si="15"/>
        <v>1400</v>
      </c>
      <c r="P506" t="str">
        <f>IF(AND(F506="Nağd",G506&gt;5),M506*0.9,"0%")</f>
        <v>0%</v>
      </c>
      <c r="Q506" s="9">
        <f>IF(F506="Kredit",EOMONTH(B506,0),"")</f>
        <v>46053</v>
      </c>
      <c r="R506" s="17" t="str">
        <f>TEXT(B506,"dddd")</f>
        <v>Sunday</v>
      </c>
    </row>
    <row r="507" spans="1:18">
      <c r="A507" s="5" t="s">
        <v>514</v>
      </c>
      <c r="B507" s="8">
        <v>46069</v>
      </c>
      <c r="C507" s="5" t="s">
        <v>979</v>
      </c>
      <c r="D507" s="5" t="s">
        <v>968</v>
      </c>
      <c r="E507" s="5" t="s">
        <v>982</v>
      </c>
      <c r="F507" s="5" t="s">
        <v>965</v>
      </c>
      <c r="G507" s="5">
        <v>3</v>
      </c>
      <c r="H507" s="5" t="s">
        <v>963</v>
      </c>
      <c r="I507" s="13">
        <v>701628988</v>
      </c>
      <c r="J507" s="10" t="s">
        <v>1490</v>
      </c>
      <c r="K507" t="str">
        <f>LEFT(C507,FIND(" ",C507)-1)&amp;"-"&amp;E507&amp;" "&amp;"Filialina çardırılma"</f>
        <v>Leyla-Baki Filialina çardırılma</v>
      </c>
      <c r="L507">
        <f>VLOOKUP(D507,Anbar!$A$2:$B$5,2,FALSE)</f>
        <v>400</v>
      </c>
      <c r="M507">
        <f>VLOOKUP(D507,Anbar!$A$2:$C$5,3,FALSE)</f>
        <v>650</v>
      </c>
      <c r="N507">
        <f t="shared" si="14"/>
        <v>1950</v>
      </c>
      <c r="O507">
        <f t="shared" si="15"/>
        <v>750</v>
      </c>
      <c r="P507" t="str">
        <f>IF(AND(F507="Nağd",G507&gt;5),M507*0.9,"0%")</f>
        <v>0%</v>
      </c>
      <c r="Q507" s="9" t="str">
        <f>IF(F507="Kredit",EOMONTH(B507,0),"")</f>
        <v/>
      </c>
      <c r="R507" s="17" t="str">
        <f>TEXT(B507,"dddd")</f>
        <v>Monday</v>
      </c>
    </row>
    <row r="508" spans="1:18">
      <c r="A508" s="5" t="s">
        <v>515</v>
      </c>
      <c r="B508" s="8">
        <v>46040</v>
      </c>
      <c r="C508" s="5" t="s">
        <v>967</v>
      </c>
      <c r="D508" s="5" t="s">
        <v>20</v>
      </c>
      <c r="E508" s="5" t="s">
        <v>964</v>
      </c>
      <c r="F508" s="5" t="s">
        <v>4</v>
      </c>
      <c r="G508" s="5">
        <v>10</v>
      </c>
      <c r="H508" s="5" t="s">
        <v>963</v>
      </c>
      <c r="I508" s="13">
        <v>779189600</v>
      </c>
      <c r="J508" s="10" t="s">
        <v>1491</v>
      </c>
      <c r="K508" t="str">
        <f>LEFT(C508,FIND(" ",C508)-1)&amp;"-"&amp;E508&amp;" "&amp;"Filialina çardırılma"</f>
        <v>Aysel-Sumqayıt Filialina çardırılma</v>
      </c>
      <c r="L508">
        <f>VLOOKUP(D508,Anbar!$A$2:$B$5,2,FALSE)</f>
        <v>15</v>
      </c>
      <c r="M508">
        <f>VLOOKUP(D508,Anbar!$A$2:$C$5,3,FALSE)</f>
        <v>45</v>
      </c>
      <c r="N508">
        <f t="shared" si="14"/>
        <v>450</v>
      </c>
      <c r="O508">
        <f t="shared" si="15"/>
        <v>300</v>
      </c>
      <c r="P508" t="str">
        <f>IF(AND(F508="Nağd",G508&gt;5),M508*0.9,"0%")</f>
        <v>0%</v>
      </c>
      <c r="Q508" s="9">
        <f>IF(F508="Kredit",EOMONTH(B508,0),"")</f>
        <v>46053</v>
      </c>
      <c r="R508" s="17" t="str">
        <f>TEXT(B508,"dddd")</f>
        <v>Sunday</v>
      </c>
    </row>
    <row r="509" spans="1:18">
      <c r="A509" s="5" t="s">
        <v>516</v>
      </c>
      <c r="B509" s="8">
        <v>46095</v>
      </c>
      <c r="C509" s="5" t="s">
        <v>978</v>
      </c>
      <c r="D509" s="5" t="s">
        <v>971</v>
      </c>
      <c r="E509" s="5" t="s">
        <v>966</v>
      </c>
      <c r="F509" s="5" t="s">
        <v>4</v>
      </c>
      <c r="G509" s="5">
        <v>4</v>
      </c>
      <c r="H509" s="5" t="s">
        <v>963</v>
      </c>
      <c r="I509" s="13">
        <v>552030339</v>
      </c>
      <c r="J509" s="10" t="s">
        <v>1492</v>
      </c>
      <c r="K509" t="str">
        <f>LEFT(C509,FIND(" ",C509)-1)&amp;"-"&amp;E509&amp;" "&amp;"Filialina çardırılma"</f>
        <v>Əli-Bakı Filialina çardırılma</v>
      </c>
      <c r="L509">
        <f>VLOOKUP(D509,Anbar!$A$2:$B$5,2,FALSE)</f>
        <v>1200</v>
      </c>
      <c r="M509">
        <f>VLOOKUP(D509,Anbar!$A$2:$C$5,3,FALSE)</f>
        <v>1800</v>
      </c>
      <c r="N509">
        <f t="shared" si="14"/>
        <v>7200</v>
      </c>
      <c r="O509">
        <f t="shared" si="15"/>
        <v>2400</v>
      </c>
      <c r="P509" t="str">
        <f>IF(AND(F509="Nağd",G509&gt;5),M509*0.9,"0%")</f>
        <v>0%</v>
      </c>
      <c r="Q509" s="9">
        <f>IF(F509="Kredit",EOMONTH(B509,0),"")</f>
        <v>46112</v>
      </c>
      <c r="R509" s="17" t="str">
        <f>TEXT(B509,"dddd")</f>
        <v>Saturday</v>
      </c>
    </row>
    <row r="510" spans="1:18">
      <c r="A510" s="5" t="s">
        <v>517</v>
      </c>
      <c r="B510" s="8">
        <v>46167</v>
      </c>
      <c r="C510" s="5" t="s">
        <v>967</v>
      </c>
      <c r="D510" s="5" t="s">
        <v>968</v>
      </c>
      <c r="E510" s="5" t="s">
        <v>981</v>
      </c>
      <c r="F510" s="5" t="s">
        <v>4</v>
      </c>
      <c r="G510" s="5">
        <v>9</v>
      </c>
      <c r="H510" s="5" t="s">
        <v>963</v>
      </c>
      <c r="I510" s="13">
        <v>775880996</v>
      </c>
      <c r="J510" s="10" t="s">
        <v>1493</v>
      </c>
      <c r="K510" t="str">
        <f>LEFT(C510,FIND(" ",C510)-1)&amp;"-"&amp;E510&amp;" "&amp;"Filialina çardırılma"</f>
        <v>Aysel-Gəncə Filialina çardırılma</v>
      </c>
      <c r="L510">
        <f>VLOOKUP(D510,Anbar!$A$2:$B$5,2,FALSE)</f>
        <v>400</v>
      </c>
      <c r="M510">
        <f>VLOOKUP(D510,Anbar!$A$2:$C$5,3,FALSE)</f>
        <v>650</v>
      </c>
      <c r="N510">
        <f t="shared" si="14"/>
        <v>5850</v>
      </c>
      <c r="O510">
        <f t="shared" si="15"/>
        <v>2250</v>
      </c>
      <c r="P510" t="str">
        <f>IF(AND(F510="Nağd",G510&gt;5),M510*0.9,"0%")</f>
        <v>0%</v>
      </c>
      <c r="Q510" s="9">
        <f>IF(F510="Kredit",EOMONTH(B510,0),"")</f>
        <v>46173</v>
      </c>
      <c r="R510" s="17" t="str">
        <f>TEXT(B510,"dddd")</f>
        <v>Monday</v>
      </c>
    </row>
    <row r="511" spans="1:18">
      <c r="A511" s="5" t="s">
        <v>518</v>
      </c>
      <c r="B511" s="8">
        <v>46037</v>
      </c>
      <c r="C511" s="5" t="s">
        <v>978</v>
      </c>
      <c r="D511" s="5" t="s">
        <v>968</v>
      </c>
      <c r="E511" s="5" t="s">
        <v>9</v>
      </c>
      <c r="F511" s="5" t="s">
        <v>7</v>
      </c>
      <c r="G511" s="5">
        <v>10</v>
      </c>
      <c r="H511" s="5" t="s">
        <v>963</v>
      </c>
      <c r="I511" s="13">
        <v>554218822</v>
      </c>
      <c r="J511" s="10" t="s">
        <v>1494</v>
      </c>
      <c r="K511" t="str">
        <f>LEFT(C511,FIND(" ",C511)-1)&amp;"-"&amp;E511&amp;" "&amp;"Filialina çardırılma"</f>
        <v>Əli-Gence Filialina çardırılma</v>
      </c>
      <c r="L511">
        <f>VLOOKUP(D511,Anbar!$A$2:$B$5,2,FALSE)</f>
        <v>400</v>
      </c>
      <c r="M511">
        <f>VLOOKUP(D511,Anbar!$A$2:$C$5,3,FALSE)</f>
        <v>650</v>
      </c>
      <c r="N511">
        <f t="shared" si="14"/>
        <v>6500</v>
      </c>
      <c r="O511">
        <f t="shared" si="15"/>
        <v>2500</v>
      </c>
      <c r="P511" t="str">
        <f>IF(AND(F511="Nağd",G511&gt;5),M511*0.9,"0%")</f>
        <v>0%</v>
      </c>
      <c r="Q511" s="9" t="str">
        <f>IF(F511="Kredit",EOMONTH(B511,0),"")</f>
        <v/>
      </c>
      <c r="R511" s="17" t="str">
        <f>TEXT(B511,"dddd")</f>
        <v>Thursday</v>
      </c>
    </row>
    <row r="512" spans="1:18">
      <c r="A512" s="5" t="s">
        <v>519</v>
      </c>
      <c r="B512" s="8">
        <v>46147</v>
      </c>
      <c r="C512" s="5" t="s">
        <v>977</v>
      </c>
      <c r="D512" s="5" t="s">
        <v>20</v>
      </c>
      <c r="E512" s="5" t="s">
        <v>980</v>
      </c>
      <c r="F512" s="5" t="s">
        <v>965</v>
      </c>
      <c r="G512" s="5">
        <v>10</v>
      </c>
      <c r="H512" s="5" t="s">
        <v>963</v>
      </c>
      <c r="I512" s="13">
        <v>559452683</v>
      </c>
      <c r="J512" s="10" t="s">
        <v>1495</v>
      </c>
      <c r="K512" t="str">
        <f>LEFT(C512,FIND(" ",C512)-1)&amp;"-"&amp;E512&amp;" "&amp;"Filialina çardırılma"</f>
        <v>Elnur-Sumqayit Filialina çardırılma</v>
      </c>
      <c r="L512">
        <f>VLOOKUP(D512,Anbar!$A$2:$B$5,2,FALSE)</f>
        <v>15</v>
      </c>
      <c r="M512">
        <f>VLOOKUP(D512,Anbar!$A$2:$C$5,3,FALSE)</f>
        <v>45</v>
      </c>
      <c r="N512">
        <f t="shared" si="14"/>
        <v>450</v>
      </c>
      <c r="O512">
        <f t="shared" si="15"/>
        <v>300</v>
      </c>
      <c r="P512">
        <f>IF(AND(F512="Nağd",G512&gt;5),M512*0.9,"0%")</f>
        <v>40.5</v>
      </c>
      <c r="Q512" s="9" t="str">
        <f>IF(F512="Kredit",EOMONTH(B512,0),"")</f>
        <v/>
      </c>
      <c r="R512" s="17" t="str">
        <f>TEXT(B512,"dddd")</f>
        <v>Tuesday</v>
      </c>
    </row>
    <row r="513" spans="1:18">
      <c r="A513" s="5" t="s">
        <v>520</v>
      </c>
      <c r="B513" s="8">
        <v>46062</v>
      </c>
      <c r="C513" s="5" t="s">
        <v>978</v>
      </c>
      <c r="D513" s="5" t="s">
        <v>20</v>
      </c>
      <c r="E513" s="5" t="s">
        <v>9</v>
      </c>
      <c r="F513" s="5" t="s">
        <v>7</v>
      </c>
      <c r="G513" s="5">
        <v>5</v>
      </c>
      <c r="H513" s="5" t="s">
        <v>963</v>
      </c>
      <c r="I513" s="13">
        <v>708524552</v>
      </c>
      <c r="J513" s="10" t="s">
        <v>1496</v>
      </c>
      <c r="K513" t="str">
        <f>LEFT(C513,FIND(" ",C513)-1)&amp;"-"&amp;E513&amp;" "&amp;"Filialina çardırılma"</f>
        <v>Əli-Gence Filialina çardırılma</v>
      </c>
      <c r="L513">
        <f>VLOOKUP(D513,Anbar!$A$2:$B$5,2,FALSE)</f>
        <v>15</v>
      </c>
      <c r="M513">
        <f>VLOOKUP(D513,Anbar!$A$2:$C$5,3,FALSE)</f>
        <v>45</v>
      </c>
      <c r="N513">
        <f t="shared" si="14"/>
        <v>225</v>
      </c>
      <c r="O513">
        <f t="shared" si="15"/>
        <v>150</v>
      </c>
      <c r="P513" t="str">
        <f>IF(AND(F513="Nağd",G513&gt;5),M513*0.9,"0%")</f>
        <v>0%</v>
      </c>
      <c r="Q513" s="9" t="str">
        <f>IF(F513="Kredit",EOMONTH(B513,0),"")</f>
        <v/>
      </c>
      <c r="R513" s="17" t="str">
        <f>TEXT(B513,"dddd")</f>
        <v>Monday</v>
      </c>
    </row>
    <row r="514" spans="1:18">
      <c r="A514" s="5" t="s">
        <v>521</v>
      </c>
      <c r="B514" s="8">
        <v>46099</v>
      </c>
      <c r="C514" s="5" t="s">
        <v>976</v>
      </c>
      <c r="D514" s="5" t="s">
        <v>20</v>
      </c>
      <c r="E514" s="5" t="s">
        <v>9</v>
      </c>
      <c r="F514" s="5" t="s">
        <v>965</v>
      </c>
      <c r="G514" s="5">
        <v>1</v>
      </c>
      <c r="H514" s="5" t="s">
        <v>963</v>
      </c>
      <c r="I514" s="13">
        <v>518269349</v>
      </c>
      <c r="J514" s="10" t="s">
        <v>1497</v>
      </c>
      <c r="K514" t="str">
        <f>LEFT(C514,FIND(" ",C514)-1)&amp;"-"&amp;E514&amp;" "&amp;"Filialina çardırılma"</f>
        <v>Nərgin-Gence Filialina çardırılma</v>
      </c>
      <c r="L514">
        <f>VLOOKUP(D514,Anbar!$A$2:$B$5,2,FALSE)</f>
        <v>15</v>
      </c>
      <c r="M514">
        <f>VLOOKUP(D514,Anbar!$A$2:$C$5,3,FALSE)</f>
        <v>45</v>
      </c>
      <c r="N514">
        <f t="shared" si="14"/>
        <v>45</v>
      </c>
      <c r="O514">
        <f t="shared" si="15"/>
        <v>30</v>
      </c>
      <c r="P514" t="str">
        <f>IF(AND(F514="Nağd",G514&gt;5),M514*0.9,"0%")</f>
        <v>0%</v>
      </c>
      <c r="Q514" s="9" t="str">
        <f>IF(F514="Kredit",EOMONTH(B514,0),"")</f>
        <v/>
      </c>
      <c r="R514" s="17" t="str">
        <f>TEXT(B514,"dddd")</f>
        <v>Wednesday</v>
      </c>
    </row>
    <row r="515" spans="1:18">
      <c r="A515" s="5" t="s">
        <v>522</v>
      </c>
      <c r="B515" s="8">
        <v>46095</v>
      </c>
      <c r="C515" s="5" t="s">
        <v>975</v>
      </c>
      <c r="D515" s="5" t="s">
        <v>20</v>
      </c>
      <c r="E515" s="5" t="s">
        <v>981</v>
      </c>
      <c r="F515" s="5" t="s">
        <v>965</v>
      </c>
      <c r="G515" s="5">
        <v>4</v>
      </c>
      <c r="H515" s="5" t="s">
        <v>963</v>
      </c>
      <c r="I515" s="13">
        <v>503575783</v>
      </c>
      <c r="J515" s="10" t="s">
        <v>1498</v>
      </c>
      <c r="K515" t="str">
        <f>LEFT(C515,FIND(" ",C515)-1)&amp;"-"&amp;E515&amp;" "&amp;"Filialina çardırılma"</f>
        <v>Murad-Gəncə Filialina çardırılma</v>
      </c>
      <c r="L515">
        <f>VLOOKUP(D515,Anbar!$A$2:$B$5,2,FALSE)</f>
        <v>15</v>
      </c>
      <c r="M515">
        <f>VLOOKUP(D515,Anbar!$A$2:$C$5,3,FALSE)</f>
        <v>45</v>
      </c>
      <c r="N515">
        <f t="shared" ref="N515:N578" si="16">G515*M515</f>
        <v>180</v>
      </c>
      <c r="O515">
        <f t="shared" ref="O515:O578" si="17">(M515-L515)*G515</f>
        <v>120</v>
      </c>
      <c r="P515" t="str">
        <f>IF(AND(F515="Nağd",G515&gt;5),M515*0.9,"0%")</f>
        <v>0%</v>
      </c>
      <c r="Q515" s="9" t="str">
        <f>IF(F515="Kredit",EOMONTH(B515,0),"")</f>
        <v/>
      </c>
      <c r="R515" s="17" t="str">
        <f>TEXT(B515,"dddd")</f>
        <v>Saturday</v>
      </c>
    </row>
    <row r="516" spans="1:18">
      <c r="A516" s="5" t="s">
        <v>523</v>
      </c>
      <c r="B516" s="8">
        <v>46150</v>
      </c>
      <c r="C516" s="5" t="s">
        <v>6</v>
      </c>
      <c r="D516" s="5" t="s">
        <v>20</v>
      </c>
      <c r="E516" s="5" t="s">
        <v>9</v>
      </c>
      <c r="F516" s="5" t="s">
        <v>7</v>
      </c>
      <c r="G516" s="5">
        <v>1</v>
      </c>
      <c r="H516" s="5" t="s">
        <v>963</v>
      </c>
      <c r="I516" s="13">
        <v>506425677</v>
      </c>
      <c r="J516" s="10" t="s">
        <v>1499</v>
      </c>
      <c r="K516" t="str">
        <f>LEFT(C516,FIND(" ",C516)-1)&amp;"-"&amp;E516&amp;" "&amp;"Filialina çardırılma"</f>
        <v>Zaur-Gence Filialina çardırılma</v>
      </c>
      <c r="L516">
        <f>VLOOKUP(D516,Anbar!$A$2:$B$5,2,FALSE)</f>
        <v>15</v>
      </c>
      <c r="M516">
        <f>VLOOKUP(D516,Anbar!$A$2:$C$5,3,FALSE)</f>
        <v>45</v>
      </c>
      <c r="N516">
        <f t="shared" si="16"/>
        <v>45</v>
      </c>
      <c r="O516">
        <f t="shared" si="17"/>
        <v>30</v>
      </c>
      <c r="P516" t="str">
        <f>IF(AND(F516="Nağd",G516&gt;5),M516*0.9,"0%")</f>
        <v>0%</v>
      </c>
      <c r="Q516" s="9" t="str">
        <f>IF(F516="Kredit",EOMONTH(B516,0),"")</f>
        <v/>
      </c>
      <c r="R516" s="17" t="str">
        <f>TEXT(B516,"dddd")</f>
        <v>Friday</v>
      </c>
    </row>
    <row r="517" spans="1:18">
      <c r="A517" s="5" t="s">
        <v>524</v>
      </c>
      <c r="B517" s="8">
        <v>46086</v>
      </c>
      <c r="C517" s="5" t="s">
        <v>975</v>
      </c>
      <c r="D517" s="5" t="s">
        <v>20</v>
      </c>
      <c r="E517" s="5" t="s">
        <v>982</v>
      </c>
      <c r="F517" s="5" t="s">
        <v>4</v>
      </c>
      <c r="G517" s="5">
        <v>4</v>
      </c>
      <c r="H517" s="5" t="s">
        <v>963</v>
      </c>
      <c r="I517" s="13">
        <v>771169260</v>
      </c>
      <c r="J517" s="10" t="s">
        <v>1500</v>
      </c>
      <c r="K517" t="str">
        <f>LEFT(C517,FIND(" ",C517)-1)&amp;"-"&amp;E517&amp;" "&amp;"Filialina çardırılma"</f>
        <v>Murad-Baki Filialina çardırılma</v>
      </c>
      <c r="L517">
        <f>VLOOKUP(D517,Anbar!$A$2:$B$5,2,FALSE)</f>
        <v>15</v>
      </c>
      <c r="M517">
        <f>VLOOKUP(D517,Anbar!$A$2:$C$5,3,FALSE)</f>
        <v>45</v>
      </c>
      <c r="N517">
        <f t="shared" si="16"/>
        <v>180</v>
      </c>
      <c r="O517">
        <f t="shared" si="17"/>
        <v>120</v>
      </c>
      <c r="P517" t="str">
        <f>IF(AND(F517="Nağd",G517&gt;5),M517*0.9,"0%")</f>
        <v>0%</v>
      </c>
      <c r="Q517" s="9">
        <f>IF(F517="Kredit",EOMONTH(B517,0),"")</f>
        <v>46112</v>
      </c>
      <c r="R517" s="17" t="str">
        <f>TEXT(B517,"dddd")</f>
        <v>Thursday</v>
      </c>
    </row>
    <row r="518" spans="1:18">
      <c r="A518" s="5" t="s">
        <v>525</v>
      </c>
      <c r="B518" s="8">
        <v>46154</v>
      </c>
      <c r="C518" s="5" t="s">
        <v>975</v>
      </c>
      <c r="D518" s="5" t="s">
        <v>20</v>
      </c>
      <c r="E518" s="5" t="s">
        <v>9</v>
      </c>
      <c r="F518" s="5" t="s">
        <v>4</v>
      </c>
      <c r="G518" s="5">
        <v>5</v>
      </c>
      <c r="H518" s="5" t="s">
        <v>963</v>
      </c>
      <c r="I518" s="13">
        <v>505635560</v>
      </c>
      <c r="J518" s="10" t="s">
        <v>1501</v>
      </c>
      <c r="K518" t="str">
        <f>LEFT(C518,FIND(" ",C518)-1)&amp;"-"&amp;E518&amp;" "&amp;"Filialina çardırılma"</f>
        <v>Murad-Gence Filialina çardırılma</v>
      </c>
      <c r="L518">
        <f>VLOOKUP(D518,Anbar!$A$2:$B$5,2,FALSE)</f>
        <v>15</v>
      </c>
      <c r="M518">
        <f>VLOOKUP(D518,Anbar!$A$2:$C$5,3,FALSE)</f>
        <v>45</v>
      </c>
      <c r="N518">
        <f t="shared" si="16"/>
        <v>225</v>
      </c>
      <c r="O518">
        <f t="shared" si="17"/>
        <v>150</v>
      </c>
      <c r="P518" t="str">
        <f>IF(AND(F518="Nağd",G518&gt;5),M518*0.9,"0%")</f>
        <v>0%</v>
      </c>
      <c r="Q518" s="9">
        <f>IF(F518="Kredit",EOMONTH(B518,0),"")</f>
        <v>46173</v>
      </c>
      <c r="R518" s="17" t="str">
        <f>TEXT(B518,"dddd")</f>
        <v>Tuesday</v>
      </c>
    </row>
    <row r="519" spans="1:18">
      <c r="A519" s="5" t="s">
        <v>526</v>
      </c>
      <c r="B519" s="8">
        <v>46082</v>
      </c>
      <c r="C519" s="5" t="s">
        <v>967</v>
      </c>
      <c r="D519" s="5" t="s">
        <v>20</v>
      </c>
      <c r="E519" s="5" t="s">
        <v>981</v>
      </c>
      <c r="F519" s="5" t="s">
        <v>4</v>
      </c>
      <c r="G519" s="5">
        <v>5</v>
      </c>
      <c r="H519" s="5" t="s">
        <v>963</v>
      </c>
      <c r="I519" s="13">
        <v>777981435</v>
      </c>
      <c r="J519" s="10" t="s">
        <v>1502</v>
      </c>
      <c r="K519" t="str">
        <f>LEFT(C519,FIND(" ",C519)-1)&amp;"-"&amp;E519&amp;" "&amp;"Filialina çardırılma"</f>
        <v>Aysel-Gəncə Filialina çardırılma</v>
      </c>
      <c r="L519">
        <f>VLOOKUP(D519,Anbar!$A$2:$B$5,2,FALSE)</f>
        <v>15</v>
      </c>
      <c r="M519">
        <f>VLOOKUP(D519,Anbar!$A$2:$C$5,3,FALSE)</f>
        <v>45</v>
      </c>
      <c r="N519">
        <f t="shared" si="16"/>
        <v>225</v>
      </c>
      <c r="O519">
        <f t="shared" si="17"/>
        <v>150</v>
      </c>
      <c r="P519" t="str">
        <f>IF(AND(F519="Nağd",G519&gt;5),M519*0.9,"0%")</f>
        <v>0%</v>
      </c>
      <c r="Q519" s="9">
        <f>IF(F519="Kredit",EOMONTH(B519,0),"")</f>
        <v>46112</v>
      </c>
      <c r="R519" s="17" t="str">
        <f>TEXT(B519,"dddd")</f>
        <v>Sunday</v>
      </c>
    </row>
    <row r="520" spans="1:18">
      <c r="A520" s="5" t="s">
        <v>527</v>
      </c>
      <c r="B520" s="8">
        <v>46131</v>
      </c>
      <c r="C520" s="5" t="s">
        <v>6</v>
      </c>
      <c r="D520" s="5" t="s">
        <v>968</v>
      </c>
      <c r="E520" s="5" t="s">
        <v>980</v>
      </c>
      <c r="F520" s="5" t="s">
        <v>4</v>
      </c>
      <c r="G520" s="5">
        <v>3</v>
      </c>
      <c r="H520" s="5" t="s">
        <v>963</v>
      </c>
      <c r="I520" s="13">
        <v>554050465</v>
      </c>
      <c r="J520" s="10" t="s">
        <v>1503</v>
      </c>
      <c r="K520" t="str">
        <f>LEFT(C520,FIND(" ",C520)-1)&amp;"-"&amp;E520&amp;" "&amp;"Filialina çardırılma"</f>
        <v>Zaur-Sumqayit Filialina çardırılma</v>
      </c>
      <c r="L520">
        <f>VLOOKUP(D520,Anbar!$A$2:$B$5,2,FALSE)</f>
        <v>400</v>
      </c>
      <c r="M520">
        <f>VLOOKUP(D520,Anbar!$A$2:$C$5,3,FALSE)</f>
        <v>650</v>
      </c>
      <c r="N520">
        <f t="shared" si="16"/>
        <v>1950</v>
      </c>
      <c r="O520">
        <f t="shared" si="17"/>
        <v>750</v>
      </c>
      <c r="P520" t="str">
        <f>IF(AND(F520="Nağd",G520&gt;5),M520*0.9,"0%")</f>
        <v>0%</v>
      </c>
      <c r="Q520" s="9">
        <f>IF(F520="Kredit",EOMONTH(B520,0),"")</f>
        <v>46142</v>
      </c>
      <c r="R520" s="17" t="str">
        <f>TEXT(B520,"dddd")</f>
        <v>Sunday</v>
      </c>
    </row>
    <row r="521" spans="1:18">
      <c r="A521" s="5" t="s">
        <v>528</v>
      </c>
      <c r="B521" s="8">
        <v>46125</v>
      </c>
      <c r="C521" s="5" t="s">
        <v>967</v>
      </c>
      <c r="D521" s="5" t="s">
        <v>971</v>
      </c>
      <c r="E521" s="5" t="s">
        <v>966</v>
      </c>
      <c r="F521" s="5" t="s">
        <v>965</v>
      </c>
      <c r="G521" s="5">
        <v>5</v>
      </c>
      <c r="H521" s="5" t="s">
        <v>963</v>
      </c>
      <c r="I521" s="13">
        <v>502977182</v>
      </c>
      <c r="J521" s="10" t="s">
        <v>1504</v>
      </c>
      <c r="K521" t="str">
        <f>LEFT(C521,FIND(" ",C521)-1)&amp;"-"&amp;E521&amp;" "&amp;"Filialina çardırılma"</f>
        <v>Aysel-Bakı Filialina çardırılma</v>
      </c>
      <c r="L521">
        <f>VLOOKUP(D521,Anbar!$A$2:$B$5,2,FALSE)</f>
        <v>1200</v>
      </c>
      <c r="M521">
        <f>VLOOKUP(D521,Anbar!$A$2:$C$5,3,FALSE)</f>
        <v>1800</v>
      </c>
      <c r="N521">
        <f t="shared" si="16"/>
        <v>9000</v>
      </c>
      <c r="O521">
        <f t="shared" si="17"/>
        <v>3000</v>
      </c>
      <c r="P521" t="str">
        <f>IF(AND(F521="Nağd",G521&gt;5),M521*0.9,"0%")</f>
        <v>0%</v>
      </c>
      <c r="Q521" s="9" t="str">
        <f>IF(F521="Kredit",EOMONTH(B521,0),"")</f>
        <v/>
      </c>
      <c r="R521" s="17" t="str">
        <f>TEXT(B521,"dddd")</f>
        <v>Monday</v>
      </c>
    </row>
    <row r="522" spans="1:18">
      <c r="A522" s="5" t="s">
        <v>529</v>
      </c>
      <c r="B522" s="8">
        <v>46057</v>
      </c>
      <c r="C522" s="5" t="s">
        <v>978</v>
      </c>
      <c r="D522" s="5" t="s">
        <v>20</v>
      </c>
      <c r="E522" s="5" t="s">
        <v>966</v>
      </c>
      <c r="F522" s="5" t="s">
        <v>965</v>
      </c>
      <c r="G522" s="5">
        <v>4</v>
      </c>
      <c r="H522" s="5" t="s">
        <v>963</v>
      </c>
      <c r="I522" s="13">
        <v>550774098</v>
      </c>
      <c r="J522" s="10" t="s">
        <v>1505</v>
      </c>
      <c r="K522" t="str">
        <f>LEFT(C522,FIND(" ",C522)-1)&amp;"-"&amp;E522&amp;" "&amp;"Filialina çardırılma"</f>
        <v>Əli-Bakı Filialina çardırılma</v>
      </c>
      <c r="L522">
        <f>VLOOKUP(D522,Anbar!$A$2:$B$5,2,FALSE)</f>
        <v>15</v>
      </c>
      <c r="M522">
        <f>VLOOKUP(D522,Anbar!$A$2:$C$5,3,FALSE)</f>
        <v>45</v>
      </c>
      <c r="N522">
        <f t="shared" si="16"/>
        <v>180</v>
      </c>
      <c r="O522">
        <f t="shared" si="17"/>
        <v>120</v>
      </c>
      <c r="P522" t="str">
        <f>IF(AND(F522="Nağd",G522&gt;5),M522*0.9,"0%")</f>
        <v>0%</v>
      </c>
      <c r="Q522" s="9" t="str">
        <f>IF(F522="Kredit",EOMONTH(B522,0),"")</f>
        <v/>
      </c>
      <c r="R522" s="17" t="str">
        <f>TEXT(B522,"dddd")</f>
        <v>Wednesday</v>
      </c>
    </row>
    <row r="523" spans="1:18">
      <c r="A523" s="5" t="s">
        <v>530</v>
      </c>
      <c r="B523" s="8">
        <v>46096</v>
      </c>
      <c r="C523" s="5" t="s">
        <v>978</v>
      </c>
      <c r="D523" s="5" t="s">
        <v>20</v>
      </c>
      <c r="E523" s="5" t="s">
        <v>966</v>
      </c>
      <c r="F523" s="5" t="s">
        <v>7</v>
      </c>
      <c r="G523" s="5">
        <v>9</v>
      </c>
      <c r="H523" s="5" t="s">
        <v>963</v>
      </c>
      <c r="I523" s="13">
        <v>519773780</v>
      </c>
      <c r="J523" s="10" t="s">
        <v>1506</v>
      </c>
      <c r="K523" t="str">
        <f>LEFT(C523,FIND(" ",C523)-1)&amp;"-"&amp;E523&amp;" "&amp;"Filialina çardırılma"</f>
        <v>Əli-Bakı Filialina çardırılma</v>
      </c>
      <c r="L523">
        <f>VLOOKUP(D523,Anbar!$A$2:$B$5,2,FALSE)</f>
        <v>15</v>
      </c>
      <c r="M523">
        <f>VLOOKUP(D523,Anbar!$A$2:$C$5,3,FALSE)</f>
        <v>45</v>
      </c>
      <c r="N523">
        <f t="shared" si="16"/>
        <v>405</v>
      </c>
      <c r="O523">
        <f t="shared" si="17"/>
        <v>270</v>
      </c>
      <c r="P523" t="str">
        <f>IF(AND(F523="Nağd",G523&gt;5),M523*0.9,"0%")</f>
        <v>0%</v>
      </c>
      <c r="Q523" s="9" t="str">
        <f>IF(F523="Kredit",EOMONTH(B523,0),"")</f>
        <v/>
      </c>
      <c r="R523" s="17" t="str">
        <f>TEXT(B523,"dddd")</f>
        <v>Sunday</v>
      </c>
    </row>
    <row r="524" spans="1:18">
      <c r="A524" s="5" t="s">
        <v>531</v>
      </c>
      <c r="B524" s="8">
        <v>46077</v>
      </c>
      <c r="C524" s="5" t="s">
        <v>977</v>
      </c>
      <c r="D524" s="5" t="s">
        <v>971</v>
      </c>
      <c r="E524" s="5" t="s">
        <v>981</v>
      </c>
      <c r="F524" s="5" t="s">
        <v>4</v>
      </c>
      <c r="G524" s="5">
        <v>10</v>
      </c>
      <c r="H524" s="5" t="s">
        <v>963</v>
      </c>
      <c r="I524" s="13">
        <v>773372495</v>
      </c>
      <c r="J524" s="10" t="s">
        <v>1507</v>
      </c>
      <c r="K524" t="str">
        <f>LEFT(C524,FIND(" ",C524)-1)&amp;"-"&amp;E524&amp;" "&amp;"Filialina çardırılma"</f>
        <v>Elnur-Gəncə Filialina çardırılma</v>
      </c>
      <c r="L524">
        <f>VLOOKUP(D524,Anbar!$A$2:$B$5,2,FALSE)</f>
        <v>1200</v>
      </c>
      <c r="M524">
        <f>VLOOKUP(D524,Anbar!$A$2:$C$5,3,FALSE)</f>
        <v>1800</v>
      </c>
      <c r="N524">
        <f t="shared" si="16"/>
        <v>18000</v>
      </c>
      <c r="O524">
        <f t="shared" si="17"/>
        <v>6000</v>
      </c>
      <c r="P524" t="str">
        <f>IF(AND(F524="Nağd",G524&gt;5),M524*0.9,"0%")</f>
        <v>0%</v>
      </c>
      <c r="Q524" s="9">
        <f>IF(F524="Kredit",EOMONTH(B524,0),"")</f>
        <v>46081</v>
      </c>
      <c r="R524" s="17" t="str">
        <f>TEXT(B524,"dddd")</f>
        <v>Tuesday</v>
      </c>
    </row>
    <row r="525" spans="1:18">
      <c r="A525" s="5" t="s">
        <v>532</v>
      </c>
      <c r="B525" s="8">
        <v>46135</v>
      </c>
      <c r="C525" s="5" t="s">
        <v>978</v>
      </c>
      <c r="D525" s="5" t="s">
        <v>971</v>
      </c>
      <c r="E525" s="5" t="s">
        <v>966</v>
      </c>
      <c r="F525" s="5" t="s">
        <v>7</v>
      </c>
      <c r="G525" s="5">
        <v>6</v>
      </c>
      <c r="H525" s="5" t="s">
        <v>963</v>
      </c>
      <c r="I525" s="13">
        <v>558072133</v>
      </c>
      <c r="J525" s="10" t="s">
        <v>1508</v>
      </c>
      <c r="K525" t="str">
        <f>LEFT(C525,FIND(" ",C525)-1)&amp;"-"&amp;E525&amp;" "&amp;"Filialina çardırılma"</f>
        <v>Əli-Bakı Filialina çardırılma</v>
      </c>
      <c r="L525">
        <f>VLOOKUP(D525,Anbar!$A$2:$B$5,2,FALSE)</f>
        <v>1200</v>
      </c>
      <c r="M525">
        <f>VLOOKUP(D525,Anbar!$A$2:$C$5,3,FALSE)</f>
        <v>1800</v>
      </c>
      <c r="N525">
        <f t="shared" si="16"/>
        <v>10800</v>
      </c>
      <c r="O525">
        <f t="shared" si="17"/>
        <v>3600</v>
      </c>
      <c r="P525" t="str">
        <f>IF(AND(F525="Nağd",G525&gt;5),M525*0.9,"0%")</f>
        <v>0%</v>
      </c>
      <c r="Q525" s="9" t="str">
        <f>IF(F525="Kredit",EOMONTH(B525,0),"")</f>
        <v/>
      </c>
      <c r="R525" s="17" t="str">
        <f>TEXT(B525,"dddd")</f>
        <v>Thursday</v>
      </c>
    </row>
    <row r="526" spans="1:18">
      <c r="A526" s="5" t="s">
        <v>533</v>
      </c>
      <c r="B526" s="8">
        <v>46075</v>
      </c>
      <c r="C526" s="5" t="s">
        <v>976</v>
      </c>
      <c r="D526" s="5" t="s">
        <v>20</v>
      </c>
      <c r="E526" s="5" t="s">
        <v>983</v>
      </c>
      <c r="F526" s="5" t="s">
        <v>4</v>
      </c>
      <c r="G526" s="5">
        <v>4</v>
      </c>
      <c r="H526" s="5" t="s">
        <v>963</v>
      </c>
      <c r="I526" s="13">
        <v>775252805</v>
      </c>
      <c r="J526" s="10" t="s">
        <v>1509</v>
      </c>
      <c r="K526" t="str">
        <f>LEFT(C526,FIND(" ",C526)-1)&amp;"-"&amp;E526&amp;" "&amp;"Filialina çardırılma"</f>
        <v>Nərgin-Naməlum Filialina çardırılma</v>
      </c>
      <c r="L526">
        <f>VLOOKUP(D526,Anbar!$A$2:$B$5,2,FALSE)</f>
        <v>15</v>
      </c>
      <c r="M526">
        <f>VLOOKUP(D526,Anbar!$A$2:$C$5,3,FALSE)</f>
        <v>45</v>
      </c>
      <c r="N526">
        <f t="shared" si="16"/>
        <v>180</v>
      </c>
      <c r="O526">
        <f t="shared" si="17"/>
        <v>120</v>
      </c>
      <c r="P526" t="str">
        <f>IF(AND(F526="Nağd",G526&gt;5),M526*0.9,"0%")</f>
        <v>0%</v>
      </c>
      <c r="Q526" s="9">
        <f>IF(F526="Kredit",EOMONTH(B526,0),"")</f>
        <v>46081</v>
      </c>
      <c r="R526" s="17" t="str">
        <f>TEXT(B526,"dddd")</f>
        <v>Sunday</v>
      </c>
    </row>
    <row r="527" spans="1:18">
      <c r="A527" s="5" t="s">
        <v>534</v>
      </c>
      <c r="B527" s="8">
        <v>46119</v>
      </c>
      <c r="C527" s="5" t="s">
        <v>974</v>
      </c>
      <c r="D527" s="5" t="s">
        <v>20</v>
      </c>
      <c r="E527" s="5" t="s">
        <v>981</v>
      </c>
      <c r="F527" s="5" t="s">
        <v>4</v>
      </c>
      <c r="G527" s="5">
        <v>9</v>
      </c>
      <c r="H527" s="5" t="s">
        <v>963</v>
      </c>
      <c r="I527" s="13">
        <v>771984025</v>
      </c>
      <c r="J527" s="10" t="s">
        <v>1510</v>
      </c>
      <c r="K527" t="str">
        <f>LEFT(C527,FIND(" ",C527)-1)&amp;"-"&amp;E527&amp;" "&amp;"Filialina çardırılma"</f>
        <v>Ramil-Gəncə Filialina çardırılma</v>
      </c>
      <c r="L527">
        <f>VLOOKUP(D527,Anbar!$A$2:$B$5,2,FALSE)</f>
        <v>15</v>
      </c>
      <c r="M527">
        <f>VLOOKUP(D527,Anbar!$A$2:$C$5,3,FALSE)</f>
        <v>45</v>
      </c>
      <c r="N527">
        <f t="shared" si="16"/>
        <v>405</v>
      </c>
      <c r="O527">
        <f t="shared" si="17"/>
        <v>270</v>
      </c>
      <c r="P527" t="str">
        <f>IF(AND(F527="Nağd",G527&gt;5),M527*0.9,"0%")</f>
        <v>0%</v>
      </c>
      <c r="Q527" s="9">
        <f>IF(F527="Kredit",EOMONTH(B527,0),"")</f>
        <v>46142</v>
      </c>
      <c r="R527" s="17" t="str">
        <f>TEXT(B527,"dddd")</f>
        <v>Tuesday</v>
      </c>
    </row>
    <row r="528" spans="1:18">
      <c r="A528" s="5" t="s">
        <v>535</v>
      </c>
      <c r="B528" s="8">
        <v>46105</v>
      </c>
      <c r="C528" s="5" t="s">
        <v>967</v>
      </c>
      <c r="D528" s="5" t="s">
        <v>15</v>
      </c>
      <c r="E528" s="5" t="s">
        <v>980</v>
      </c>
      <c r="F528" s="5" t="s">
        <v>4</v>
      </c>
      <c r="G528" s="5">
        <v>10</v>
      </c>
      <c r="H528" s="5" t="s">
        <v>963</v>
      </c>
      <c r="I528" s="13">
        <v>708769150</v>
      </c>
      <c r="J528" s="10" t="s">
        <v>1511</v>
      </c>
      <c r="K528" t="str">
        <f>LEFT(C528,FIND(" ",C528)-1)&amp;"-"&amp;E528&amp;" "&amp;"Filialina çardırılma"</f>
        <v>Aysel-Sumqayit Filialina çardırılma</v>
      </c>
      <c r="L528">
        <f>VLOOKUP(D528,Anbar!$A$2:$B$5,2,FALSE)</f>
        <v>600</v>
      </c>
      <c r="M528">
        <f>VLOOKUP(D528,Anbar!$A$2:$C$5,3,FALSE)</f>
        <v>950</v>
      </c>
      <c r="N528">
        <f t="shared" si="16"/>
        <v>9500</v>
      </c>
      <c r="O528">
        <f t="shared" si="17"/>
        <v>3500</v>
      </c>
      <c r="P528" t="str">
        <f>IF(AND(F528="Nağd",G528&gt;5),M528*0.9,"0%")</f>
        <v>0%</v>
      </c>
      <c r="Q528" s="9">
        <f>IF(F528="Kredit",EOMONTH(B528,0),"")</f>
        <v>46112</v>
      </c>
      <c r="R528" s="17" t="str">
        <f>TEXT(B528,"dddd")</f>
        <v>Tuesday</v>
      </c>
    </row>
    <row r="529" spans="1:18">
      <c r="A529" s="5" t="s">
        <v>536</v>
      </c>
      <c r="B529" s="8">
        <v>46146</v>
      </c>
      <c r="C529" s="5" t="s">
        <v>967</v>
      </c>
      <c r="D529" s="5" t="s">
        <v>20</v>
      </c>
      <c r="E529" s="5" t="s">
        <v>982</v>
      </c>
      <c r="F529" s="5" t="s">
        <v>965</v>
      </c>
      <c r="G529" s="5">
        <v>7</v>
      </c>
      <c r="H529" s="5" t="s">
        <v>963</v>
      </c>
      <c r="I529" s="13">
        <v>771711119</v>
      </c>
      <c r="J529" s="10" t="s">
        <v>1512</v>
      </c>
      <c r="K529" t="str">
        <f>LEFT(C529,FIND(" ",C529)-1)&amp;"-"&amp;E529&amp;" "&amp;"Filialina çardırılma"</f>
        <v>Aysel-Baki Filialina çardırılma</v>
      </c>
      <c r="L529">
        <f>VLOOKUP(D529,Anbar!$A$2:$B$5,2,FALSE)</f>
        <v>15</v>
      </c>
      <c r="M529">
        <f>VLOOKUP(D529,Anbar!$A$2:$C$5,3,FALSE)</f>
        <v>45</v>
      </c>
      <c r="N529">
        <f t="shared" si="16"/>
        <v>315</v>
      </c>
      <c r="O529">
        <f t="shared" si="17"/>
        <v>210</v>
      </c>
      <c r="P529">
        <f>IF(AND(F529="Nağd",G529&gt;5),M529*0.9,"0%")</f>
        <v>40.5</v>
      </c>
      <c r="Q529" s="9" t="str">
        <f>IF(F529="Kredit",EOMONTH(B529,0),"")</f>
        <v/>
      </c>
      <c r="R529" s="17" t="str">
        <f>TEXT(B529,"dddd")</f>
        <v>Monday</v>
      </c>
    </row>
    <row r="530" spans="1:18">
      <c r="A530" s="5" t="s">
        <v>537</v>
      </c>
      <c r="B530" s="8">
        <v>46042</v>
      </c>
      <c r="C530" s="5" t="s">
        <v>978</v>
      </c>
      <c r="D530" s="5" t="s">
        <v>15</v>
      </c>
      <c r="E530" s="5" t="s">
        <v>982</v>
      </c>
      <c r="F530" s="5" t="s">
        <v>7</v>
      </c>
      <c r="G530" s="5">
        <v>8</v>
      </c>
      <c r="H530" s="5" t="s">
        <v>963</v>
      </c>
      <c r="I530" s="13">
        <v>519166876</v>
      </c>
      <c r="J530" s="10" t="s">
        <v>1513</v>
      </c>
      <c r="K530" t="str">
        <f>LEFT(C530,FIND(" ",C530)-1)&amp;"-"&amp;E530&amp;" "&amp;"Filialina çardırılma"</f>
        <v>Əli-Baki Filialina çardırılma</v>
      </c>
      <c r="L530">
        <f>VLOOKUP(D530,Anbar!$A$2:$B$5,2,FALSE)</f>
        <v>600</v>
      </c>
      <c r="M530">
        <f>VLOOKUP(D530,Anbar!$A$2:$C$5,3,FALSE)</f>
        <v>950</v>
      </c>
      <c r="N530">
        <f t="shared" si="16"/>
        <v>7600</v>
      </c>
      <c r="O530">
        <f t="shared" si="17"/>
        <v>2800</v>
      </c>
      <c r="P530" t="str">
        <f>IF(AND(F530="Nağd",G530&gt;5),M530*0.9,"0%")</f>
        <v>0%</v>
      </c>
      <c r="Q530" s="9" t="str">
        <f>IF(F530="Kredit",EOMONTH(B530,0),"")</f>
        <v/>
      </c>
      <c r="R530" s="17" t="str">
        <f>TEXT(B530,"dddd")</f>
        <v>Tuesday</v>
      </c>
    </row>
    <row r="531" spans="1:18">
      <c r="A531" s="5" t="s">
        <v>538</v>
      </c>
      <c r="B531" s="8">
        <v>46095</v>
      </c>
      <c r="C531" s="5" t="s">
        <v>978</v>
      </c>
      <c r="D531" s="5" t="s">
        <v>968</v>
      </c>
      <c r="E531" s="5" t="s">
        <v>964</v>
      </c>
      <c r="F531" s="5" t="s">
        <v>4</v>
      </c>
      <c r="G531" s="5">
        <v>6</v>
      </c>
      <c r="H531" s="5" t="s">
        <v>963</v>
      </c>
      <c r="I531" s="13">
        <v>779719085</v>
      </c>
      <c r="J531" s="10" t="s">
        <v>1514</v>
      </c>
      <c r="K531" t="str">
        <f>LEFT(C531,FIND(" ",C531)-1)&amp;"-"&amp;E531&amp;" "&amp;"Filialina çardırılma"</f>
        <v>Əli-Sumqayıt Filialina çardırılma</v>
      </c>
      <c r="L531">
        <f>VLOOKUP(D531,Anbar!$A$2:$B$5,2,FALSE)</f>
        <v>400</v>
      </c>
      <c r="M531">
        <f>VLOOKUP(D531,Anbar!$A$2:$C$5,3,FALSE)</f>
        <v>650</v>
      </c>
      <c r="N531">
        <f t="shared" si="16"/>
        <v>3900</v>
      </c>
      <c r="O531">
        <f t="shared" si="17"/>
        <v>1500</v>
      </c>
      <c r="P531" t="str">
        <f>IF(AND(F531="Nağd",G531&gt;5),M531*0.9,"0%")</f>
        <v>0%</v>
      </c>
      <c r="Q531" s="9">
        <f>IF(F531="Kredit",EOMONTH(B531,0),"")</f>
        <v>46112</v>
      </c>
      <c r="R531" s="17" t="str">
        <f>TEXT(B531,"dddd")</f>
        <v>Saturday</v>
      </c>
    </row>
    <row r="532" spans="1:18">
      <c r="A532" s="5" t="s">
        <v>539</v>
      </c>
      <c r="B532" s="8">
        <v>46085</v>
      </c>
      <c r="C532" s="5" t="s">
        <v>976</v>
      </c>
      <c r="D532" s="5" t="s">
        <v>20</v>
      </c>
      <c r="E532" s="5" t="s">
        <v>964</v>
      </c>
      <c r="F532" s="5" t="s">
        <v>965</v>
      </c>
      <c r="G532" s="5">
        <v>2</v>
      </c>
      <c r="H532" s="5" t="s">
        <v>963</v>
      </c>
      <c r="I532" s="13">
        <v>550004585</v>
      </c>
      <c r="J532" s="10" t="s">
        <v>1515</v>
      </c>
      <c r="K532" t="str">
        <f>LEFT(C532,FIND(" ",C532)-1)&amp;"-"&amp;E532&amp;" "&amp;"Filialina çardırılma"</f>
        <v>Nərgin-Sumqayıt Filialina çardırılma</v>
      </c>
      <c r="L532">
        <f>VLOOKUP(D532,Anbar!$A$2:$B$5,2,FALSE)</f>
        <v>15</v>
      </c>
      <c r="M532">
        <f>VLOOKUP(D532,Anbar!$A$2:$C$5,3,FALSE)</f>
        <v>45</v>
      </c>
      <c r="N532">
        <f t="shared" si="16"/>
        <v>90</v>
      </c>
      <c r="O532">
        <f t="shared" si="17"/>
        <v>60</v>
      </c>
      <c r="P532" t="str">
        <f>IF(AND(F532="Nağd",G532&gt;5),M532*0.9,"0%")</f>
        <v>0%</v>
      </c>
      <c r="Q532" s="9" t="str">
        <f>IF(F532="Kredit",EOMONTH(B532,0),"")</f>
        <v/>
      </c>
      <c r="R532" s="17" t="str">
        <f>TEXT(B532,"dddd")</f>
        <v>Wednesday</v>
      </c>
    </row>
    <row r="533" spans="1:18">
      <c r="A533" s="5" t="s">
        <v>540</v>
      </c>
      <c r="B533" s="8">
        <v>46034</v>
      </c>
      <c r="C533" s="5" t="s">
        <v>977</v>
      </c>
      <c r="D533" s="5" t="s">
        <v>968</v>
      </c>
      <c r="E533" s="5" t="s">
        <v>964</v>
      </c>
      <c r="F533" s="5" t="s">
        <v>4</v>
      </c>
      <c r="G533" s="5">
        <v>8</v>
      </c>
      <c r="H533" s="5" t="s">
        <v>963</v>
      </c>
      <c r="I533" s="13">
        <v>518422542</v>
      </c>
      <c r="J533" s="10" t="s">
        <v>1516</v>
      </c>
      <c r="K533" t="str">
        <f>LEFT(C533,FIND(" ",C533)-1)&amp;"-"&amp;E533&amp;" "&amp;"Filialina çardırılma"</f>
        <v>Elnur-Sumqayıt Filialina çardırılma</v>
      </c>
      <c r="L533">
        <f>VLOOKUP(D533,Anbar!$A$2:$B$5,2,FALSE)</f>
        <v>400</v>
      </c>
      <c r="M533">
        <f>VLOOKUP(D533,Anbar!$A$2:$C$5,3,FALSE)</f>
        <v>650</v>
      </c>
      <c r="N533">
        <f t="shared" si="16"/>
        <v>5200</v>
      </c>
      <c r="O533">
        <f t="shared" si="17"/>
        <v>2000</v>
      </c>
      <c r="P533" t="str">
        <f>IF(AND(F533="Nağd",G533&gt;5),M533*0.9,"0%")</f>
        <v>0%</v>
      </c>
      <c r="Q533" s="9">
        <f>IF(F533="Kredit",EOMONTH(B533,0),"")</f>
        <v>46053</v>
      </c>
      <c r="R533" s="17" t="str">
        <f>TEXT(B533,"dddd")</f>
        <v>Monday</v>
      </c>
    </row>
    <row r="534" spans="1:18">
      <c r="A534" s="5" t="s">
        <v>541</v>
      </c>
      <c r="B534" s="8">
        <v>46033</v>
      </c>
      <c r="C534" s="5" t="s">
        <v>974</v>
      </c>
      <c r="D534" s="5" t="s">
        <v>15</v>
      </c>
      <c r="E534" s="5" t="s">
        <v>966</v>
      </c>
      <c r="F534" s="5" t="s">
        <v>965</v>
      </c>
      <c r="G534" s="5">
        <v>6</v>
      </c>
      <c r="H534" s="5" t="s">
        <v>963</v>
      </c>
      <c r="I534" s="13">
        <v>551865216</v>
      </c>
      <c r="J534" s="10" t="s">
        <v>1517</v>
      </c>
      <c r="K534" t="str">
        <f>LEFT(C534,FIND(" ",C534)-1)&amp;"-"&amp;E534&amp;" "&amp;"Filialina çardırılma"</f>
        <v>Ramil-Bakı Filialina çardırılma</v>
      </c>
      <c r="L534">
        <f>VLOOKUP(D534,Anbar!$A$2:$B$5,2,FALSE)</f>
        <v>600</v>
      </c>
      <c r="M534">
        <f>VLOOKUP(D534,Anbar!$A$2:$C$5,3,FALSE)</f>
        <v>950</v>
      </c>
      <c r="N534">
        <f t="shared" si="16"/>
        <v>5700</v>
      </c>
      <c r="O534">
        <f t="shared" si="17"/>
        <v>2100</v>
      </c>
      <c r="P534">
        <f>IF(AND(F534="Nağd",G534&gt;5),M534*0.9,"0%")</f>
        <v>855</v>
      </c>
      <c r="Q534" s="9" t="str">
        <f>IF(F534="Kredit",EOMONTH(B534,0),"")</f>
        <v/>
      </c>
      <c r="R534" s="17" t="str">
        <f>TEXT(B534,"dddd")</f>
        <v>Sunday</v>
      </c>
    </row>
    <row r="535" spans="1:18">
      <c r="A535" s="5" t="s">
        <v>542</v>
      </c>
      <c r="B535" s="8">
        <v>46152</v>
      </c>
      <c r="C535" s="5" t="s">
        <v>967</v>
      </c>
      <c r="D535" s="5" t="s">
        <v>971</v>
      </c>
      <c r="E535" s="5" t="s">
        <v>980</v>
      </c>
      <c r="F535" s="5" t="s">
        <v>4</v>
      </c>
      <c r="G535" s="5">
        <v>2</v>
      </c>
      <c r="H535" s="5" t="s">
        <v>963</v>
      </c>
      <c r="I535" s="13">
        <v>502962306</v>
      </c>
      <c r="J535" s="10" t="s">
        <v>1518</v>
      </c>
      <c r="K535" t="str">
        <f>LEFT(C535,FIND(" ",C535)-1)&amp;"-"&amp;E535&amp;" "&amp;"Filialina çardırılma"</f>
        <v>Aysel-Sumqayit Filialina çardırılma</v>
      </c>
      <c r="L535">
        <f>VLOOKUP(D535,Anbar!$A$2:$B$5,2,FALSE)</f>
        <v>1200</v>
      </c>
      <c r="M535">
        <f>VLOOKUP(D535,Anbar!$A$2:$C$5,3,FALSE)</f>
        <v>1800</v>
      </c>
      <c r="N535">
        <f t="shared" si="16"/>
        <v>3600</v>
      </c>
      <c r="O535">
        <f t="shared" si="17"/>
        <v>1200</v>
      </c>
      <c r="P535" t="str">
        <f>IF(AND(F535="Nağd",G535&gt;5),M535*0.9,"0%")</f>
        <v>0%</v>
      </c>
      <c r="Q535" s="9">
        <f>IF(F535="Kredit",EOMONTH(B535,0),"")</f>
        <v>46173</v>
      </c>
      <c r="R535" s="17" t="str">
        <f>TEXT(B535,"dddd")</f>
        <v>Sunday</v>
      </c>
    </row>
    <row r="536" spans="1:18">
      <c r="A536" s="5" t="s">
        <v>543</v>
      </c>
      <c r="B536" s="8">
        <v>46165</v>
      </c>
      <c r="C536" s="5" t="s">
        <v>979</v>
      </c>
      <c r="D536" s="5" t="s">
        <v>971</v>
      </c>
      <c r="E536" s="5" t="s">
        <v>980</v>
      </c>
      <c r="F536" s="5" t="s">
        <v>4</v>
      </c>
      <c r="G536" s="5">
        <v>10</v>
      </c>
      <c r="H536" s="5" t="s">
        <v>963</v>
      </c>
      <c r="I536" s="13">
        <v>706135803</v>
      </c>
      <c r="J536" s="10" t="s">
        <v>1519</v>
      </c>
      <c r="K536" t="str">
        <f>LEFT(C536,FIND(" ",C536)-1)&amp;"-"&amp;E536&amp;" "&amp;"Filialina çardırılma"</f>
        <v>Leyla-Sumqayit Filialina çardırılma</v>
      </c>
      <c r="L536">
        <f>VLOOKUP(D536,Anbar!$A$2:$B$5,2,FALSE)</f>
        <v>1200</v>
      </c>
      <c r="M536">
        <f>VLOOKUP(D536,Anbar!$A$2:$C$5,3,FALSE)</f>
        <v>1800</v>
      </c>
      <c r="N536">
        <f t="shared" si="16"/>
        <v>18000</v>
      </c>
      <c r="O536">
        <f t="shared" si="17"/>
        <v>6000</v>
      </c>
      <c r="P536" t="str">
        <f>IF(AND(F536="Nağd",G536&gt;5),M536*0.9,"0%")</f>
        <v>0%</v>
      </c>
      <c r="Q536" s="9">
        <f>IF(F536="Kredit",EOMONTH(B536,0),"")</f>
        <v>46173</v>
      </c>
      <c r="R536" s="17" t="str">
        <f>TEXT(B536,"dddd")</f>
        <v>Saturday</v>
      </c>
    </row>
    <row r="537" spans="1:18">
      <c r="A537" s="5" t="s">
        <v>544</v>
      </c>
      <c r="B537" s="8">
        <v>46047</v>
      </c>
      <c r="C537" s="5" t="s">
        <v>978</v>
      </c>
      <c r="D537" s="5" t="s">
        <v>20</v>
      </c>
      <c r="E537" s="5" t="s">
        <v>9</v>
      </c>
      <c r="F537" s="5" t="s">
        <v>4</v>
      </c>
      <c r="G537" s="5">
        <v>5</v>
      </c>
      <c r="H537" s="5" t="s">
        <v>963</v>
      </c>
      <c r="I537" s="13">
        <v>508868893</v>
      </c>
      <c r="J537" s="10" t="s">
        <v>1520</v>
      </c>
      <c r="K537" t="str">
        <f>LEFT(C537,FIND(" ",C537)-1)&amp;"-"&amp;E537&amp;" "&amp;"Filialina çardırılma"</f>
        <v>Əli-Gence Filialina çardırılma</v>
      </c>
      <c r="L537">
        <f>VLOOKUP(D537,Anbar!$A$2:$B$5,2,FALSE)</f>
        <v>15</v>
      </c>
      <c r="M537">
        <f>VLOOKUP(D537,Anbar!$A$2:$C$5,3,FALSE)</f>
        <v>45</v>
      </c>
      <c r="N537">
        <f t="shared" si="16"/>
        <v>225</v>
      </c>
      <c r="O537">
        <f t="shared" si="17"/>
        <v>150</v>
      </c>
      <c r="P537" t="str">
        <f>IF(AND(F537="Nağd",G537&gt;5),M537*0.9,"0%")</f>
        <v>0%</v>
      </c>
      <c r="Q537" s="9">
        <f>IF(F537="Kredit",EOMONTH(B537,0),"")</f>
        <v>46053</v>
      </c>
      <c r="R537" s="17" t="str">
        <f>TEXT(B537,"dddd")</f>
        <v>Sunday</v>
      </c>
    </row>
    <row r="538" spans="1:18">
      <c r="A538" s="5" t="s">
        <v>545</v>
      </c>
      <c r="B538" s="8">
        <v>46140</v>
      </c>
      <c r="C538" s="5" t="s">
        <v>977</v>
      </c>
      <c r="D538" s="5" t="s">
        <v>15</v>
      </c>
      <c r="E538" s="5" t="s">
        <v>982</v>
      </c>
      <c r="F538" s="5" t="s">
        <v>965</v>
      </c>
      <c r="G538" s="5">
        <v>1</v>
      </c>
      <c r="H538" s="5" t="s">
        <v>963</v>
      </c>
      <c r="I538" s="13">
        <v>707420974</v>
      </c>
      <c r="J538" s="10" t="s">
        <v>1521</v>
      </c>
      <c r="K538" t="str">
        <f>LEFT(C538,FIND(" ",C538)-1)&amp;"-"&amp;E538&amp;" "&amp;"Filialina çardırılma"</f>
        <v>Elnur-Baki Filialina çardırılma</v>
      </c>
      <c r="L538">
        <f>VLOOKUP(D538,Anbar!$A$2:$B$5,2,FALSE)</f>
        <v>600</v>
      </c>
      <c r="M538">
        <f>VLOOKUP(D538,Anbar!$A$2:$C$5,3,FALSE)</f>
        <v>950</v>
      </c>
      <c r="N538">
        <f t="shared" si="16"/>
        <v>950</v>
      </c>
      <c r="O538">
        <f t="shared" si="17"/>
        <v>350</v>
      </c>
      <c r="P538" t="str">
        <f>IF(AND(F538="Nağd",G538&gt;5),M538*0.9,"0%")</f>
        <v>0%</v>
      </c>
      <c r="Q538" s="9" t="str">
        <f>IF(F538="Kredit",EOMONTH(B538,0),"")</f>
        <v/>
      </c>
      <c r="R538" s="17" t="str">
        <f>TEXT(B538,"dddd")</f>
        <v>Tuesday</v>
      </c>
    </row>
    <row r="539" spans="1:18">
      <c r="A539" s="5" t="s">
        <v>546</v>
      </c>
      <c r="B539" s="8">
        <v>46078</v>
      </c>
      <c r="C539" s="5" t="s">
        <v>974</v>
      </c>
      <c r="D539" s="5" t="s">
        <v>971</v>
      </c>
      <c r="E539" s="5" t="s">
        <v>9</v>
      </c>
      <c r="F539" s="5" t="s">
        <v>7</v>
      </c>
      <c r="G539" s="5">
        <v>10</v>
      </c>
      <c r="H539" s="5" t="s">
        <v>963</v>
      </c>
      <c r="I539" s="13">
        <v>708699344</v>
      </c>
      <c r="J539" s="10" t="s">
        <v>1522</v>
      </c>
      <c r="K539" t="str">
        <f>LEFT(C539,FIND(" ",C539)-1)&amp;"-"&amp;E539&amp;" "&amp;"Filialina çardırılma"</f>
        <v>Ramil-Gence Filialina çardırılma</v>
      </c>
      <c r="L539">
        <f>VLOOKUP(D539,Anbar!$A$2:$B$5,2,FALSE)</f>
        <v>1200</v>
      </c>
      <c r="M539">
        <f>VLOOKUP(D539,Anbar!$A$2:$C$5,3,FALSE)</f>
        <v>1800</v>
      </c>
      <c r="N539">
        <f t="shared" si="16"/>
        <v>18000</v>
      </c>
      <c r="O539">
        <f t="shared" si="17"/>
        <v>6000</v>
      </c>
      <c r="P539" t="str">
        <f>IF(AND(F539="Nağd",G539&gt;5),M539*0.9,"0%")</f>
        <v>0%</v>
      </c>
      <c r="Q539" s="9" t="str">
        <f>IF(F539="Kredit",EOMONTH(B539,0),"")</f>
        <v/>
      </c>
      <c r="R539" s="17" t="str">
        <f>TEXT(B539,"dddd")</f>
        <v>Wednesday</v>
      </c>
    </row>
    <row r="540" spans="1:18">
      <c r="A540" s="5" t="s">
        <v>547</v>
      </c>
      <c r="B540" s="8">
        <v>46099</v>
      </c>
      <c r="C540" s="5" t="s">
        <v>6</v>
      </c>
      <c r="D540" s="5" t="s">
        <v>15</v>
      </c>
      <c r="E540" s="5" t="s">
        <v>982</v>
      </c>
      <c r="F540" s="5" t="s">
        <v>4</v>
      </c>
      <c r="G540" s="5">
        <v>10</v>
      </c>
      <c r="H540" s="5" t="s">
        <v>963</v>
      </c>
      <c r="I540" s="13">
        <v>508240829</v>
      </c>
      <c r="J540" s="10" t="s">
        <v>1523</v>
      </c>
      <c r="K540" t="str">
        <f>LEFT(C540,FIND(" ",C540)-1)&amp;"-"&amp;E540&amp;" "&amp;"Filialina çardırılma"</f>
        <v>Zaur-Baki Filialina çardırılma</v>
      </c>
      <c r="L540">
        <f>VLOOKUP(D540,Anbar!$A$2:$B$5,2,FALSE)</f>
        <v>600</v>
      </c>
      <c r="M540">
        <f>VLOOKUP(D540,Anbar!$A$2:$C$5,3,FALSE)</f>
        <v>950</v>
      </c>
      <c r="N540">
        <f t="shared" si="16"/>
        <v>9500</v>
      </c>
      <c r="O540">
        <f t="shared" si="17"/>
        <v>3500</v>
      </c>
      <c r="P540" t="str">
        <f>IF(AND(F540="Nağd",G540&gt;5),M540*0.9,"0%")</f>
        <v>0%</v>
      </c>
      <c r="Q540" s="9">
        <f>IF(F540="Kredit",EOMONTH(B540,0),"")</f>
        <v>46112</v>
      </c>
      <c r="R540" s="17" t="str">
        <f>TEXT(B540,"dddd")</f>
        <v>Wednesday</v>
      </c>
    </row>
    <row r="541" spans="1:18">
      <c r="A541" s="5" t="s">
        <v>548</v>
      </c>
      <c r="B541" s="8">
        <v>46132</v>
      </c>
      <c r="C541" s="5" t="s">
        <v>975</v>
      </c>
      <c r="D541" s="5" t="s">
        <v>20</v>
      </c>
      <c r="E541" s="5" t="s">
        <v>982</v>
      </c>
      <c r="F541" s="5" t="s">
        <v>983</v>
      </c>
      <c r="G541" s="5">
        <v>2</v>
      </c>
      <c r="H541" s="5" t="s">
        <v>963</v>
      </c>
      <c r="I541" s="13">
        <v>517503452</v>
      </c>
      <c r="J541" s="10" t="s">
        <v>1524</v>
      </c>
      <c r="K541" t="str">
        <f>LEFT(C541,FIND(" ",C541)-1)&amp;"-"&amp;E541&amp;" "&amp;"Filialina çardırılma"</f>
        <v>Murad-Baki Filialina çardırılma</v>
      </c>
      <c r="L541">
        <f>VLOOKUP(D541,Anbar!$A$2:$B$5,2,FALSE)</f>
        <v>15</v>
      </c>
      <c r="M541">
        <f>VLOOKUP(D541,Anbar!$A$2:$C$5,3,FALSE)</f>
        <v>45</v>
      </c>
      <c r="N541">
        <f t="shared" si="16"/>
        <v>90</v>
      </c>
      <c r="O541">
        <f t="shared" si="17"/>
        <v>60</v>
      </c>
      <c r="P541" t="str">
        <f>IF(AND(F541="Nağd",G541&gt;5),M541*0.9,"0%")</f>
        <v>0%</v>
      </c>
      <c r="Q541" s="9" t="str">
        <f>IF(F541="Kredit",EOMONTH(B541,0),"")</f>
        <v/>
      </c>
      <c r="R541" s="17" t="str">
        <f>TEXT(B541,"dddd")</f>
        <v>Monday</v>
      </c>
    </row>
    <row r="542" spans="1:18">
      <c r="A542" s="5" t="s">
        <v>549</v>
      </c>
      <c r="B542" s="8">
        <v>46095</v>
      </c>
      <c r="C542" s="5" t="s">
        <v>978</v>
      </c>
      <c r="D542" s="5" t="s">
        <v>971</v>
      </c>
      <c r="E542" s="5" t="s">
        <v>966</v>
      </c>
      <c r="F542" s="5" t="s">
        <v>965</v>
      </c>
      <c r="G542" s="5">
        <v>4</v>
      </c>
      <c r="H542" s="5" t="s">
        <v>963</v>
      </c>
      <c r="I542" s="13">
        <v>513592208</v>
      </c>
      <c r="J542" s="10" t="s">
        <v>1525</v>
      </c>
      <c r="K542" t="str">
        <f>LEFT(C542,FIND(" ",C542)-1)&amp;"-"&amp;E542&amp;" "&amp;"Filialina çardırılma"</f>
        <v>Əli-Bakı Filialina çardırılma</v>
      </c>
      <c r="L542">
        <f>VLOOKUP(D542,Anbar!$A$2:$B$5,2,FALSE)</f>
        <v>1200</v>
      </c>
      <c r="M542">
        <f>VLOOKUP(D542,Anbar!$A$2:$C$5,3,FALSE)</f>
        <v>1800</v>
      </c>
      <c r="N542">
        <f t="shared" si="16"/>
        <v>7200</v>
      </c>
      <c r="O542">
        <f t="shared" si="17"/>
        <v>2400</v>
      </c>
      <c r="P542" t="str">
        <f>IF(AND(F542="Nağd",G542&gt;5),M542*0.9,"0%")</f>
        <v>0%</v>
      </c>
      <c r="Q542" s="9" t="str">
        <f>IF(F542="Kredit",EOMONTH(B542,0),"")</f>
        <v/>
      </c>
      <c r="R542" s="17" t="str">
        <f>TEXT(B542,"dddd")</f>
        <v>Saturday</v>
      </c>
    </row>
    <row r="543" spans="1:18">
      <c r="A543" s="5" t="s">
        <v>550</v>
      </c>
      <c r="B543" s="8">
        <v>46148</v>
      </c>
      <c r="C543" s="5" t="s">
        <v>967</v>
      </c>
      <c r="D543" s="5" t="s">
        <v>15</v>
      </c>
      <c r="E543" s="5" t="s">
        <v>964</v>
      </c>
      <c r="F543" s="5" t="s">
        <v>7</v>
      </c>
      <c r="G543" s="5">
        <v>9</v>
      </c>
      <c r="H543" s="5" t="s">
        <v>963</v>
      </c>
      <c r="I543" s="13">
        <v>700285559</v>
      </c>
      <c r="J543" s="10" t="s">
        <v>1526</v>
      </c>
      <c r="K543" t="str">
        <f>LEFT(C543,FIND(" ",C543)-1)&amp;"-"&amp;E543&amp;" "&amp;"Filialina çardırılma"</f>
        <v>Aysel-Sumqayıt Filialina çardırılma</v>
      </c>
      <c r="L543">
        <f>VLOOKUP(D543,Anbar!$A$2:$B$5,2,FALSE)</f>
        <v>600</v>
      </c>
      <c r="M543">
        <f>VLOOKUP(D543,Anbar!$A$2:$C$5,3,FALSE)</f>
        <v>950</v>
      </c>
      <c r="N543">
        <f t="shared" si="16"/>
        <v>8550</v>
      </c>
      <c r="O543">
        <f t="shared" si="17"/>
        <v>3150</v>
      </c>
      <c r="P543" t="str">
        <f>IF(AND(F543="Nağd",G543&gt;5),M543*0.9,"0%")</f>
        <v>0%</v>
      </c>
      <c r="Q543" s="9" t="str">
        <f>IF(F543="Kredit",EOMONTH(B543,0),"")</f>
        <v/>
      </c>
      <c r="R543" s="17" t="str">
        <f>TEXT(B543,"dddd")</f>
        <v>Wednesday</v>
      </c>
    </row>
    <row r="544" spans="1:18">
      <c r="A544" s="5" t="s">
        <v>551</v>
      </c>
      <c r="B544" s="8">
        <v>46068</v>
      </c>
      <c r="C544" s="5" t="s">
        <v>975</v>
      </c>
      <c r="D544" s="5" t="s">
        <v>20</v>
      </c>
      <c r="E544" s="5" t="s">
        <v>964</v>
      </c>
      <c r="F544" s="5" t="s">
        <v>965</v>
      </c>
      <c r="G544" s="5">
        <v>4</v>
      </c>
      <c r="H544" s="5" t="s">
        <v>963</v>
      </c>
      <c r="I544" s="13">
        <v>555925174</v>
      </c>
      <c r="J544" s="10" t="s">
        <v>1527</v>
      </c>
      <c r="K544" t="str">
        <f>LEFT(C544,FIND(" ",C544)-1)&amp;"-"&amp;E544&amp;" "&amp;"Filialina çardırılma"</f>
        <v>Murad-Sumqayıt Filialina çardırılma</v>
      </c>
      <c r="L544">
        <f>VLOOKUP(D544,Anbar!$A$2:$B$5,2,FALSE)</f>
        <v>15</v>
      </c>
      <c r="M544">
        <f>VLOOKUP(D544,Anbar!$A$2:$C$5,3,FALSE)</f>
        <v>45</v>
      </c>
      <c r="N544">
        <f t="shared" si="16"/>
        <v>180</v>
      </c>
      <c r="O544">
        <f t="shared" si="17"/>
        <v>120</v>
      </c>
      <c r="P544" t="str">
        <f>IF(AND(F544="Nağd",G544&gt;5),M544*0.9,"0%")</f>
        <v>0%</v>
      </c>
      <c r="Q544" s="9" t="str">
        <f>IF(F544="Kredit",EOMONTH(B544,0),"")</f>
        <v/>
      </c>
      <c r="R544" s="17" t="str">
        <f>TEXT(B544,"dddd")</f>
        <v>Sunday</v>
      </c>
    </row>
    <row r="545" spans="1:18">
      <c r="A545" s="5" t="s">
        <v>552</v>
      </c>
      <c r="B545" s="8">
        <v>46160</v>
      </c>
      <c r="C545" s="5" t="s">
        <v>979</v>
      </c>
      <c r="D545" s="5" t="s">
        <v>971</v>
      </c>
      <c r="E545" s="5" t="s">
        <v>980</v>
      </c>
      <c r="F545" s="5" t="s">
        <v>965</v>
      </c>
      <c r="G545" s="5">
        <v>7</v>
      </c>
      <c r="H545" s="5" t="s">
        <v>963</v>
      </c>
      <c r="I545" s="13">
        <v>704494586</v>
      </c>
      <c r="J545" s="10" t="s">
        <v>1528</v>
      </c>
      <c r="K545" t="str">
        <f>LEFT(C545,FIND(" ",C545)-1)&amp;"-"&amp;E545&amp;" "&amp;"Filialina çardırılma"</f>
        <v>Leyla-Sumqayit Filialina çardırılma</v>
      </c>
      <c r="L545">
        <f>VLOOKUP(D545,Anbar!$A$2:$B$5,2,FALSE)</f>
        <v>1200</v>
      </c>
      <c r="M545">
        <f>VLOOKUP(D545,Anbar!$A$2:$C$5,3,FALSE)</f>
        <v>1800</v>
      </c>
      <c r="N545">
        <f t="shared" si="16"/>
        <v>12600</v>
      </c>
      <c r="O545">
        <f t="shared" si="17"/>
        <v>4200</v>
      </c>
      <c r="P545">
        <f>IF(AND(F545="Nağd",G545&gt;5),M545*0.9,"0%")</f>
        <v>1620</v>
      </c>
      <c r="Q545" s="9" t="str">
        <f>IF(F545="Kredit",EOMONTH(B545,0),"")</f>
        <v/>
      </c>
      <c r="R545" s="17" t="str">
        <f>TEXT(B545,"dddd")</f>
        <v>Monday</v>
      </c>
    </row>
    <row r="546" spans="1:18">
      <c r="A546" s="5" t="s">
        <v>553</v>
      </c>
      <c r="B546" s="8">
        <v>46098</v>
      </c>
      <c r="C546" s="5" t="s">
        <v>976</v>
      </c>
      <c r="D546" s="5" t="s">
        <v>971</v>
      </c>
      <c r="E546" s="5" t="s">
        <v>982</v>
      </c>
      <c r="F546" s="5" t="s">
        <v>965</v>
      </c>
      <c r="G546" s="5">
        <v>1</v>
      </c>
      <c r="H546" s="5" t="s">
        <v>963</v>
      </c>
      <c r="I546" s="13">
        <v>511056413</v>
      </c>
      <c r="J546" s="10" t="s">
        <v>1529</v>
      </c>
      <c r="K546" t="str">
        <f>LEFT(C546,FIND(" ",C546)-1)&amp;"-"&amp;E546&amp;" "&amp;"Filialina çardırılma"</f>
        <v>Nərgin-Baki Filialina çardırılma</v>
      </c>
      <c r="L546">
        <f>VLOOKUP(D546,Anbar!$A$2:$B$5,2,FALSE)</f>
        <v>1200</v>
      </c>
      <c r="M546">
        <f>VLOOKUP(D546,Anbar!$A$2:$C$5,3,FALSE)</f>
        <v>1800</v>
      </c>
      <c r="N546">
        <f t="shared" si="16"/>
        <v>1800</v>
      </c>
      <c r="O546">
        <f t="shared" si="17"/>
        <v>600</v>
      </c>
      <c r="P546" t="str">
        <f>IF(AND(F546="Nağd",G546&gt;5),M546*0.9,"0%")</f>
        <v>0%</v>
      </c>
      <c r="Q546" s="9" t="str">
        <f>IF(F546="Kredit",EOMONTH(B546,0),"")</f>
        <v/>
      </c>
      <c r="R546" s="17" t="str">
        <f>TEXT(B546,"dddd")</f>
        <v>Tuesday</v>
      </c>
    </row>
    <row r="547" spans="1:18">
      <c r="A547" s="5" t="s">
        <v>554</v>
      </c>
      <c r="B547" s="8">
        <v>46145</v>
      </c>
      <c r="C547" s="5" t="s">
        <v>975</v>
      </c>
      <c r="D547" s="5" t="s">
        <v>15</v>
      </c>
      <c r="E547" s="5" t="s">
        <v>982</v>
      </c>
      <c r="F547" s="5" t="s">
        <v>7</v>
      </c>
      <c r="G547" s="5">
        <v>1</v>
      </c>
      <c r="H547" s="5" t="s">
        <v>963</v>
      </c>
      <c r="I547" s="13">
        <v>700646328</v>
      </c>
      <c r="J547" s="10" t="s">
        <v>1530</v>
      </c>
      <c r="K547" t="str">
        <f>LEFT(C547,FIND(" ",C547)-1)&amp;"-"&amp;E547&amp;" "&amp;"Filialina çardırılma"</f>
        <v>Murad-Baki Filialina çardırılma</v>
      </c>
      <c r="L547">
        <f>VLOOKUP(D547,Anbar!$A$2:$B$5,2,FALSE)</f>
        <v>600</v>
      </c>
      <c r="M547">
        <f>VLOOKUP(D547,Anbar!$A$2:$C$5,3,FALSE)</f>
        <v>950</v>
      </c>
      <c r="N547">
        <f t="shared" si="16"/>
        <v>950</v>
      </c>
      <c r="O547">
        <f t="shared" si="17"/>
        <v>350</v>
      </c>
      <c r="P547" t="str">
        <f>IF(AND(F547="Nağd",G547&gt;5),M547*0.9,"0%")</f>
        <v>0%</v>
      </c>
      <c r="Q547" s="9" t="str">
        <f>IF(F547="Kredit",EOMONTH(B547,0),"")</f>
        <v/>
      </c>
      <c r="R547" s="17" t="str">
        <f>TEXT(B547,"dddd")</f>
        <v>Sunday</v>
      </c>
    </row>
    <row r="548" spans="1:18">
      <c r="A548" s="5" t="s">
        <v>555</v>
      </c>
      <c r="B548" s="8">
        <v>46158</v>
      </c>
      <c r="C548" s="5" t="s">
        <v>977</v>
      </c>
      <c r="D548" s="5" t="s">
        <v>15</v>
      </c>
      <c r="E548" s="5" t="s">
        <v>964</v>
      </c>
      <c r="F548" s="5" t="s">
        <v>4</v>
      </c>
      <c r="G548" s="5">
        <v>3</v>
      </c>
      <c r="H548" s="5" t="s">
        <v>963</v>
      </c>
      <c r="I548" s="13">
        <v>500918373</v>
      </c>
      <c r="J548" s="10" t="s">
        <v>1531</v>
      </c>
      <c r="K548" t="str">
        <f>LEFT(C548,FIND(" ",C548)-1)&amp;"-"&amp;E548&amp;" "&amp;"Filialina çardırılma"</f>
        <v>Elnur-Sumqayıt Filialina çardırılma</v>
      </c>
      <c r="L548">
        <f>VLOOKUP(D548,Anbar!$A$2:$B$5,2,FALSE)</f>
        <v>600</v>
      </c>
      <c r="M548">
        <f>VLOOKUP(D548,Anbar!$A$2:$C$5,3,FALSE)</f>
        <v>950</v>
      </c>
      <c r="N548">
        <f t="shared" si="16"/>
        <v>2850</v>
      </c>
      <c r="O548">
        <f t="shared" si="17"/>
        <v>1050</v>
      </c>
      <c r="P548" t="str">
        <f>IF(AND(F548="Nağd",G548&gt;5),M548*0.9,"0%")</f>
        <v>0%</v>
      </c>
      <c r="Q548" s="9">
        <f>IF(F548="Kredit",EOMONTH(B548,0),"")</f>
        <v>46173</v>
      </c>
      <c r="R548" s="17" t="str">
        <f>TEXT(B548,"dddd")</f>
        <v>Saturday</v>
      </c>
    </row>
    <row r="549" spans="1:18">
      <c r="A549" s="5" t="s">
        <v>556</v>
      </c>
      <c r="B549" s="8">
        <v>46146</v>
      </c>
      <c r="C549" s="5" t="s">
        <v>975</v>
      </c>
      <c r="D549" s="5" t="s">
        <v>971</v>
      </c>
      <c r="E549" s="5" t="s">
        <v>966</v>
      </c>
      <c r="F549" s="5" t="s">
        <v>965</v>
      </c>
      <c r="G549" s="5">
        <v>8</v>
      </c>
      <c r="H549" s="5" t="s">
        <v>963</v>
      </c>
      <c r="I549" s="13">
        <v>704410941</v>
      </c>
      <c r="J549" s="10" t="s">
        <v>1532</v>
      </c>
      <c r="K549" t="str">
        <f>LEFT(C549,FIND(" ",C549)-1)&amp;"-"&amp;E549&amp;" "&amp;"Filialina çardırılma"</f>
        <v>Murad-Bakı Filialina çardırılma</v>
      </c>
      <c r="L549">
        <f>VLOOKUP(D549,Anbar!$A$2:$B$5,2,FALSE)</f>
        <v>1200</v>
      </c>
      <c r="M549">
        <f>VLOOKUP(D549,Anbar!$A$2:$C$5,3,FALSE)</f>
        <v>1800</v>
      </c>
      <c r="N549">
        <f t="shared" si="16"/>
        <v>14400</v>
      </c>
      <c r="O549">
        <f t="shared" si="17"/>
        <v>4800</v>
      </c>
      <c r="P549">
        <f>IF(AND(F549="Nağd",G549&gt;5),M549*0.9,"0%")</f>
        <v>1620</v>
      </c>
      <c r="Q549" s="9" t="str">
        <f>IF(F549="Kredit",EOMONTH(B549,0),"")</f>
        <v/>
      </c>
      <c r="R549" s="17" t="str">
        <f>TEXT(B549,"dddd")</f>
        <v>Monday</v>
      </c>
    </row>
    <row r="550" spans="1:18">
      <c r="A550" s="5" t="s">
        <v>557</v>
      </c>
      <c r="B550" s="8">
        <v>46139</v>
      </c>
      <c r="C550" s="5" t="s">
        <v>6</v>
      </c>
      <c r="D550" s="5" t="s">
        <v>968</v>
      </c>
      <c r="E550" s="5" t="s">
        <v>980</v>
      </c>
      <c r="F550" s="5" t="s">
        <v>965</v>
      </c>
      <c r="G550" s="5">
        <v>4</v>
      </c>
      <c r="H550" s="5" t="s">
        <v>963</v>
      </c>
      <c r="I550" s="13">
        <v>772735810</v>
      </c>
      <c r="J550" s="10" t="s">
        <v>1533</v>
      </c>
      <c r="K550" t="str">
        <f>LEFT(C550,FIND(" ",C550)-1)&amp;"-"&amp;E550&amp;" "&amp;"Filialina çardırılma"</f>
        <v>Zaur-Sumqayit Filialina çardırılma</v>
      </c>
      <c r="L550">
        <f>VLOOKUP(D550,Anbar!$A$2:$B$5,2,FALSE)</f>
        <v>400</v>
      </c>
      <c r="M550">
        <f>VLOOKUP(D550,Anbar!$A$2:$C$5,3,FALSE)</f>
        <v>650</v>
      </c>
      <c r="N550">
        <f t="shared" si="16"/>
        <v>2600</v>
      </c>
      <c r="O550">
        <f t="shared" si="17"/>
        <v>1000</v>
      </c>
      <c r="P550" t="str">
        <f>IF(AND(F550="Nağd",G550&gt;5),M550*0.9,"0%")</f>
        <v>0%</v>
      </c>
      <c r="Q550" s="9" t="str">
        <f>IF(F550="Kredit",EOMONTH(B550,0),"")</f>
        <v/>
      </c>
      <c r="R550" s="17" t="str">
        <f>TEXT(B550,"dddd")</f>
        <v>Monday</v>
      </c>
    </row>
    <row r="551" spans="1:18">
      <c r="A551" s="5" t="s">
        <v>558</v>
      </c>
      <c r="B551" s="8">
        <v>46039</v>
      </c>
      <c r="C551" s="5" t="s">
        <v>977</v>
      </c>
      <c r="D551" s="5" t="s">
        <v>968</v>
      </c>
      <c r="E551" s="5" t="s">
        <v>966</v>
      </c>
      <c r="F551" s="5" t="s">
        <v>965</v>
      </c>
      <c r="G551" s="5">
        <v>5</v>
      </c>
      <c r="H551" s="5" t="s">
        <v>963</v>
      </c>
      <c r="I551" s="13">
        <v>777137042</v>
      </c>
      <c r="J551" s="10" t="s">
        <v>1534</v>
      </c>
      <c r="K551" t="str">
        <f>LEFT(C551,FIND(" ",C551)-1)&amp;"-"&amp;E551&amp;" "&amp;"Filialina çardırılma"</f>
        <v>Elnur-Bakı Filialina çardırılma</v>
      </c>
      <c r="L551">
        <f>VLOOKUP(D551,Anbar!$A$2:$B$5,2,FALSE)</f>
        <v>400</v>
      </c>
      <c r="M551">
        <f>VLOOKUP(D551,Anbar!$A$2:$C$5,3,FALSE)</f>
        <v>650</v>
      </c>
      <c r="N551">
        <f t="shared" si="16"/>
        <v>3250</v>
      </c>
      <c r="O551">
        <f t="shared" si="17"/>
        <v>1250</v>
      </c>
      <c r="P551" t="str">
        <f>IF(AND(F551="Nağd",G551&gt;5),M551*0.9,"0%")</f>
        <v>0%</v>
      </c>
      <c r="Q551" s="9" t="str">
        <f>IF(F551="Kredit",EOMONTH(B551,0),"")</f>
        <v/>
      </c>
      <c r="R551" s="17" t="str">
        <f>TEXT(B551,"dddd")</f>
        <v>Saturday</v>
      </c>
    </row>
    <row r="552" spans="1:18">
      <c r="A552" s="5" t="s">
        <v>559</v>
      </c>
      <c r="B552" s="8">
        <v>46133</v>
      </c>
      <c r="C552" s="5" t="s">
        <v>6</v>
      </c>
      <c r="D552" s="5" t="s">
        <v>20</v>
      </c>
      <c r="E552" s="5" t="s">
        <v>982</v>
      </c>
      <c r="F552" s="5" t="s">
        <v>965</v>
      </c>
      <c r="G552" s="5">
        <v>6</v>
      </c>
      <c r="H552" s="5" t="s">
        <v>963</v>
      </c>
      <c r="I552" s="13">
        <v>775232665</v>
      </c>
      <c r="J552" s="10" t="s">
        <v>1535</v>
      </c>
      <c r="K552" t="str">
        <f>LEFT(C552,FIND(" ",C552)-1)&amp;"-"&amp;E552&amp;" "&amp;"Filialina çardırılma"</f>
        <v>Zaur-Baki Filialina çardırılma</v>
      </c>
      <c r="L552">
        <f>VLOOKUP(D552,Anbar!$A$2:$B$5,2,FALSE)</f>
        <v>15</v>
      </c>
      <c r="M552">
        <f>VLOOKUP(D552,Anbar!$A$2:$C$5,3,FALSE)</f>
        <v>45</v>
      </c>
      <c r="N552">
        <f t="shared" si="16"/>
        <v>270</v>
      </c>
      <c r="O552">
        <f t="shared" si="17"/>
        <v>180</v>
      </c>
      <c r="P552">
        <f>IF(AND(F552="Nağd",G552&gt;5),M552*0.9,"0%")</f>
        <v>40.5</v>
      </c>
      <c r="Q552" s="9" t="str">
        <f>IF(F552="Kredit",EOMONTH(B552,0),"")</f>
        <v/>
      </c>
      <c r="R552" s="17" t="str">
        <f>TEXT(B552,"dddd")</f>
        <v>Tuesday</v>
      </c>
    </row>
    <row r="553" spans="1:18">
      <c r="A553" s="5" t="s">
        <v>560</v>
      </c>
      <c r="B553" s="8">
        <v>46031</v>
      </c>
      <c r="C553" s="5" t="s">
        <v>974</v>
      </c>
      <c r="D553" s="5" t="s">
        <v>971</v>
      </c>
      <c r="E553" s="5" t="s">
        <v>981</v>
      </c>
      <c r="F553" s="5" t="s">
        <v>4</v>
      </c>
      <c r="G553" s="5">
        <v>10</v>
      </c>
      <c r="H553" s="5" t="s">
        <v>963</v>
      </c>
      <c r="I553" s="13">
        <v>515855062</v>
      </c>
      <c r="J553" s="10" t="s">
        <v>1536</v>
      </c>
      <c r="K553" t="str">
        <f>LEFT(C553,FIND(" ",C553)-1)&amp;"-"&amp;E553&amp;" "&amp;"Filialina çardırılma"</f>
        <v>Ramil-Gəncə Filialina çardırılma</v>
      </c>
      <c r="L553">
        <f>VLOOKUP(D553,Anbar!$A$2:$B$5,2,FALSE)</f>
        <v>1200</v>
      </c>
      <c r="M553">
        <f>VLOOKUP(D553,Anbar!$A$2:$C$5,3,FALSE)</f>
        <v>1800</v>
      </c>
      <c r="N553">
        <f t="shared" si="16"/>
        <v>18000</v>
      </c>
      <c r="O553">
        <f t="shared" si="17"/>
        <v>6000</v>
      </c>
      <c r="P553" t="str">
        <f>IF(AND(F553="Nağd",G553&gt;5),M553*0.9,"0%")</f>
        <v>0%</v>
      </c>
      <c r="Q553" s="9">
        <f>IF(F553="Kredit",EOMONTH(B553,0),"")</f>
        <v>46053</v>
      </c>
      <c r="R553" s="17" t="str">
        <f>TEXT(B553,"dddd")</f>
        <v>Friday</v>
      </c>
    </row>
    <row r="554" spans="1:18">
      <c r="A554" s="5" t="s">
        <v>561</v>
      </c>
      <c r="B554" s="8">
        <v>46076</v>
      </c>
      <c r="C554" s="5" t="s">
        <v>975</v>
      </c>
      <c r="D554" s="5" t="s">
        <v>20</v>
      </c>
      <c r="E554" s="5" t="s">
        <v>982</v>
      </c>
      <c r="F554" s="5" t="s">
        <v>4</v>
      </c>
      <c r="G554" s="5">
        <v>1</v>
      </c>
      <c r="H554" s="5" t="s">
        <v>963</v>
      </c>
      <c r="I554" s="13">
        <v>777586868</v>
      </c>
      <c r="J554" s="10" t="s">
        <v>1537</v>
      </c>
      <c r="K554" t="str">
        <f>LEFT(C554,FIND(" ",C554)-1)&amp;"-"&amp;E554&amp;" "&amp;"Filialina çardırılma"</f>
        <v>Murad-Baki Filialina çardırılma</v>
      </c>
      <c r="L554">
        <f>VLOOKUP(D554,Anbar!$A$2:$B$5,2,FALSE)</f>
        <v>15</v>
      </c>
      <c r="M554">
        <f>VLOOKUP(D554,Anbar!$A$2:$C$5,3,FALSE)</f>
        <v>45</v>
      </c>
      <c r="N554">
        <f t="shared" si="16"/>
        <v>45</v>
      </c>
      <c r="O554">
        <f t="shared" si="17"/>
        <v>30</v>
      </c>
      <c r="P554" t="str">
        <f>IF(AND(F554="Nağd",G554&gt;5),M554*0.9,"0%")</f>
        <v>0%</v>
      </c>
      <c r="Q554" s="9">
        <f>IF(F554="Kredit",EOMONTH(B554,0),"")</f>
        <v>46081</v>
      </c>
      <c r="R554" s="17" t="str">
        <f>TEXT(B554,"dddd")</f>
        <v>Monday</v>
      </c>
    </row>
    <row r="555" spans="1:18">
      <c r="A555" s="5" t="s">
        <v>562</v>
      </c>
      <c r="B555" s="8">
        <v>46058</v>
      </c>
      <c r="C555" s="5" t="s">
        <v>978</v>
      </c>
      <c r="D555" s="5" t="s">
        <v>971</v>
      </c>
      <c r="E555" s="5" t="s">
        <v>966</v>
      </c>
      <c r="F555" s="5" t="s">
        <v>965</v>
      </c>
      <c r="G555" s="5">
        <v>2</v>
      </c>
      <c r="H555" s="5" t="s">
        <v>963</v>
      </c>
      <c r="I555" s="13">
        <v>706233010</v>
      </c>
      <c r="J555" s="10" t="s">
        <v>1538</v>
      </c>
      <c r="K555" t="str">
        <f>LEFT(C555,FIND(" ",C555)-1)&amp;"-"&amp;E555&amp;" "&amp;"Filialina çardırılma"</f>
        <v>Əli-Bakı Filialina çardırılma</v>
      </c>
      <c r="L555">
        <f>VLOOKUP(D555,Anbar!$A$2:$B$5,2,FALSE)</f>
        <v>1200</v>
      </c>
      <c r="M555">
        <f>VLOOKUP(D555,Anbar!$A$2:$C$5,3,FALSE)</f>
        <v>1800</v>
      </c>
      <c r="N555">
        <f t="shared" si="16"/>
        <v>3600</v>
      </c>
      <c r="O555">
        <f t="shared" si="17"/>
        <v>1200</v>
      </c>
      <c r="P555" t="str">
        <f>IF(AND(F555="Nağd",G555&gt;5),M555*0.9,"0%")</f>
        <v>0%</v>
      </c>
      <c r="Q555" s="9" t="str">
        <f>IF(F555="Kredit",EOMONTH(B555,0),"")</f>
        <v/>
      </c>
      <c r="R555" s="17" t="str">
        <f>TEXT(B555,"dddd")</f>
        <v>Thursday</v>
      </c>
    </row>
    <row r="556" spans="1:18">
      <c r="A556" s="5" t="s">
        <v>563</v>
      </c>
      <c r="B556" s="8">
        <v>46111</v>
      </c>
      <c r="C556" s="5" t="s">
        <v>979</v>
      </c>
      <c r="D556" s="5" t="s">
        <v>20</v>
      </c>
      <c r="E556" s="5" t="s">
        <v>980</v>
      </c>
      <c r="F556" s="5" t="s">
        <v>4</v>
      </c>
      <c r="G556" s="5">
        <v>1</v>
      </c>
      <c r="H556" s="5" t="s">
        <v>963</v>
      </c>
      <c r="I556" s="13">
        <v>554182264</v>
      </c>
      <c r="J556" s="10" t="s">
        <v>1539</v>
      </c>
      <c r="K556" t="str">
        <f>LEFT(C556,FIND(" ",C556)-1)&amp;"-"&amp;E556&amp;" "&amp;"Filialina çardırılma"</f>
        <v>Leyla-Sumqayit Filialina çardırılma</v>
      </c>
      <c r="L556">
        <f>VLOOKUP(D556,Anbar!$A$2:$B$5,2,FALSE)</f>
        <v>15</v>
      </c>
      <c r="M556">
        <f>VLOOKUP(D556,Anbar!$A$2:$C$5,3,FALSE)</f>
        <v>45</v>
      </c>
      <c r="N556">
        <f t="shared" si="16"/>
        <v>45</v>
      </c>
      <c r="O556">
        <f t="shared" si="17"/>
        <v>30</v>
      </c>
      <c r="P556" t="str">
        <f>IF(AND(F556="Nağd",G556&gt;5),M556*0.9,"0%")</f>
        <v>0%</v>
      </c>
      <c r="Q556" s="9">
        <f>IF(F556="Kredit",EOMONTH(B556,0),"")</f>
        <v>46112</v>
      </c>
      <c r="R556" s="17" t="str">
        <f>TEXT(B556,"dddd")</f>
        <v>Monday</v>
      </c>
    </row>
    <row r="557" spans="1:18">
      <c r="A557" s="5" t="s">
        <v>564</v>
      </c>
      <c r="B557" s="8">
        <v>46052</v>
      </c>
      <c r="C557" s="5" t="s">
        <v>967</v>
      </c>
      <c r="D557" s="5" t="s">
        <v>20</v>
      </c>
      <c r="E557" s="5" t="s">
        <v>980</v>
      </c>
      <c r="F557" s="5" t="s">
        <v>4</v>
      </c>
      <c r="G557" s="5">
        <v>4</v>
      </c>
      <c r="H557" s="5" t="s">
        <v>963</v>
      </c>
      <c r="I557" s="13">
        <v>700803290</v>
      </c>
      <c r="J557" s="10" t="s">
        <v>1540</v>
      </c>
      <c r="K557" t="str">
        <f>LEFT(C557,FIND(" ",C557)-1)&amp;"-"&amp;E557&amp;" "&amp;"Filialina çardırılma"</f>
        <v>Aysel-Sumqayit Filialina çardırılma</v>
      </c>
      <c r="L557">
        <f>VLOOKUP(D557,Anbar!$A$2:$B$5,2,FALSE)</f>
        <v>15</v>
      </c>
      <c r="M557">
        <f>VLOOKUP(D557,Anbar!$A$2:$C$5,3,FALSE)</f>
        <v>45</v>
      </c>
      <c r="N557">
        <f t="shared" si="16"/>
        <v>180</v>
      </c>
      <c r="O557">
        <f t="shared" si="17"/>
        <v>120</v>
      </c>
      <c r="P557" t="str">
        <f>IF(AND(F557="Nağd",G557&gt;5),M557*0.9,"0%")</f>
        <v>0%</v>
      </c>
      <c r="Q557" s="9">
        <f>IF(F557="Kredit",EOMONTH(B557,0),"")</f>
        <v>46053</v>
      </c>
      <c r="R557" s="17" t="str">
        <f>TEXT(B557,"dddd")</f>
        <v>Friday</v>
      </c>
    </row>
    <row r="558" spans="1:18">
      <c r="A558" s="5" t="s">
        <v>565</v>
      </c>
      <c r="B558" s="8">
        <v>46157</v>
      </c>
      <c r="C558" s="5" t="s">
        <v>974</v>
      </c>
      <c r="D558" s="5" t="s">
        <v>968</v>
      </c>
      <c r="E558" s="5" t="s">
        <v>981</v>
      </c>
      <c r="F558" s="5" t="s">
        <v>4</v>
      </c>
      <c r="G558" s="5">
        <v>5</v>
      </c>
      <c r="H558" s="5" t="s">
        <v>963</v>
      </c>
      <c r="I558" s="13">
        <v>504146013</v>
      </c>
      <c r="J558" s="10" t="s">
        <v>1541</v>
      </c>
      <c r="K558" t="str">
        <f>LEFT(C558,FIND(" ",C558)-1)&amp;"-"&amp;E558&amp;" "&amp;"Filialina çardırılma"</f>
        <v>Ramil-Gəncə Filialina çardırılma</v>
      </c>
      <c r="L558">
        <f>VLOOKUP(D558,Anbar!$A$2:$B$5,2,FALSE)</f>
        <v>400</v>
      </c>
      <c r="M558">
        <f>VLOOKUP(D558,Anbar!$A$2:$C$5,3,FALSE)</f>
        <v>650</v>
      </c>
      <c r="N558">
        <f t="shared" si="16"/>
        <v>3250</v>
      </c>
      <c r="O558">
        <f t="shared" si="17"/>
        <v>1250</v>
      </c>
      <c r="P558" t="str">
        <f>IF(AND(F558="Nağd",G558&gt;5),M558*0.9,"0%")</f>
        <v>0%</v>
      </c>
      <c r="Q558" s="9">
        <f>IF(F558="Kredit",EOMONTH(B558,0),"")</f>
        <v>46173</v>
      </c>
      <c r="R558" s="17" t="str">
        <f>TEXT(B558,"dddd")</f>
        <v>Friday</v>
      </c>
    </row>
    <row r="559" spans="1:18">
      <c r="A559" s="5" t="s">
        <v>566</v>
      </c>
      <c r="B559" s="8">
        <v>46167</v>
      </c>
      <c r="C559" s="5" t="s">
        <v>977</v>
      </c>
      <c r="D559" s="5" t="s">
        <v>15</v>
      </c>
      <c r="E559" s="5" t="s">
        <v>9</v>
      </c>
      <c r="F559" s="5" t="s">
        <v>4</v>
      </c>
      <c r="G559" s="5">
        <v>9</v>
      </c>
      <c r="H559" s="5" t="s">
        <v>963</v>
      </c>
      <c r="I559" s="13">
        <v>778140564</v>
      </c>
      <c r="J559" s="10" t="s">
        <v>1542</v>
      </c>
      <c r="K559" t="str">
        <f>LEFT(C559,FIND(" ",C559)-1)&amp;"-"&amp;E559&amp;" "&amp;"Filialina çardırılma"</f>
        <v>Elnur-Gence Filialina çardırılma</v>
      </c>
      <c r="L559">
        <f>VLOOKUP(D559,Anbar!$A$2:$B$5,2,FALSE)</f>
        <v>600</v>
      </c>
      <c r="M559">
        <f>VLOOKUP(D559,Anbar!$A$2:$C$5,3,FALSE)</f>
        <v>950</v>
      </c>
      <c r="N559">
        <f t="shared" si="16"/>
        <v>8550</v>
      </c>
      <c r="O559">
        <f t="shared" si="17"/>
        <v>3150</v>
      </c>
      <c r="P559" t="str">
        <f>IF(AND(F559="Nağd",G559&gt;5),M559*0.9,"0%")</f>
        <v>0%</v>
      </c>
      <c r="Q559" s="9">
        <f>IF(F559="Kredit",EOMONTH(B559,0),"")</f>
        <v>46173</v>
      </c>
      <c r="R559" s="17" t="str">
        <f>TEXT(B559,"dddd")</f>
        <v>Monday</v>
      </c>
    </row>
    <row r="560" spans="1:18">
      <c r="A560" s="5" t="s">
        <v>567</v>
      </c>
      <c r="B560" s="8">
        <v>46041</v>
      </c>
      <c r="C560" s="5" t="s">
        <v>6</v>
      </c>
      <c r="D560" s="5" t="s">
        <v>15</v>
      </c>
      <c r="E560" s="5" t="s">
        <v>981</v>
      </c>
      <c r="F560" s="5" t="s">
        <v>4</v>
      </c>
      <c r="G560" s="5">
        <v>2</v>
      </c>
      <c r="H560" s="5" t="s">
        <v>963</v>
      </c>
      <c r="I560" s="13">
        <v>509299399</v>
      </c>
      <c r="J560" s="10" t="s">
        <v>1543</v>
      </c>
      <c r="K560" t="str">
        <f>LEFT(C560,FIND(" ",C560)-1)&amp;"-"&amp;E560&amp;" "&amp;"Filialina çardırılma"</f>
        <v>Zaur-Gəncə Filialina çardırılma</v>
      </c>
      <c r="L560">
        <f>VLOOKUP(D560,Anbar!$A$2:$B$5,2,FALSE)</f>
        <v>600</v>
      </c>
      <c r="M560">
        <f>VLOOKUP(D560,Anbar!$A$2:$C$5,3,FALSE)</f>
        <v>950</v>
      </c>
      <c r="N560">
        <f t="shared" si="16"/>
        <v>1900</v>
      </c>
      <c r="O560">
        <f t="shared" si="17"/>
        <v>700</v>
      </c>
      <c r="P560" t="str">
        <f>IF(AND(F560="Nağd",G560&gt;5),M560*0.9,"0%")</f>
        <v>0%</v>
      </c>
      <c r="Q560" s="9">
        <f>IF(F560="Kredit",EOMONTH(B560,0),"")</f>
        <v>46053</v>
      </c>
      <c r="R560" s="17" t="str">
        <f>TEXT(B560,"dddd")</f>
        <v>Monday</v>
      </c>
    </row>
    <row r="561" spans="1:18">
      <c r="A561" s="5" t="s">
        <v>568</v>
      </c>
      <c r="B561" s="8">
        <v>46069</v>
      </c>
      <c r="C561" s="5" t="s">
        <v>976</v>
      </c>
      <c r="D561" s="5" t="s">
        <v>971</v>
      </c>
      <c r="E561" s="5" t="s">
        <v>983</v>
      </c>
      <c r="F561" s="5" t="s">
        <v>4</v>
      </c>
      <c r="G561" s="5">
        <v>8</v>
      </c>
      <c r="H561" s="5" t="s">
        <v>963</v>
      </c>
      <c r="I561" s="13">
        <v>778852347</v>
      </c>
      <c r="J561" s="10" t="s">
        <v>1544</v>
      </c>
      <c r="K561" t="str">
        <f>LEFT(C561,FIND(" ",C561)-1)&amp;"-"&amp;E561&amp;" "&amp;"Filialina çardırılma"</f>
        <v>Nərgin-Naməlum Filialina çardırılma</v>
      </c>
      <c r="L561">
        <f>VLOOKUP(D561,Anbar!$A$2:$B$5,2,FALSE)</f>
        <v>1200</v>
      </c>
      <c r="M561">
        <f>VLOOKUP(D561,Anbar!$A$2:$C$5,3,FALSE)</f>
        <v>1800</v>
      </c>
      <c r="N561">
        <f t="shared" si="16"/>
        <v>14400</v>
      </c>
      <c r="O561">
        <f t="shared" si="17"/>
        <v>4800</v>
      </c>
      <c r="P561" t="str">
        <f>IF(AND(F561="Nağd",G561&gt;5),M561*0.9,"0%")</f>
        <v>0%</v>
      </c>
      <c r="Q561" s="9">
        <f>IF(F561="Kredit",EOMONTH(B561,0),"")</f>
        <v>46081</v>
      </c>
      <c r="R561" s="17" t="str">
        <f>TEXT(B561,"dddd")</f>
        <v>Monday</v>
      </c>
    </row>
    <row r="562" spans="1:18">
      <c r="A562" s="5" t="s">
        <v>569</v>
      </c>
      <c r="B562" s="8">
        <v>46047</v>
      </c>
      <c r="C562" s="5" t="s">
        <v>977</v>
      </c>
      <c r="D562" s="5" t="s">
        <v>20</v>
      </c>
      <c r="E562" s="5" t="s">
        <v>9</v>
      </c>
      <c r="F562" s="5" t="s">
        <v>965</v>
      </c>
      <c r="G562" s="5">
        <v>5</v>
      </c>
      <c r="H562" s="5" t="s">
        <v>963</v>
      </c>
      <c r="I562" s="13">
        <v>517664977</v>
      </c>
      <c r="J562" s="10" t="s">
        <v>1545</v>
      </c>
      <c r="K562" t="str">
        <f>LEFT(C562,FIND(" ",C562)-1)&amp;"-"&amp;E562&amp;" "&amp;"Filialina çardırılma"</f>
        <v>Elnur-Gence Filialina çardırılma</v>
      </c>
      <c r="L562">
        <f>VLOOKUP(D562,Anbar!$A$2:$B$5,2,FALSE)</f>
        <v>15</v>
      </c>
      <c r="M562">
        <f>VLOOKUP(D562,Anbar!$A$2:$C$5,3,FALSE)</f>
        <v>45</v>
      </c>
      <c r="N562">
        <f t="shared" si="16"/>
        <v>225</v>
      </c>
      <c r="O562">
        <f t="shared" si="17"/>
        <v>150</v>
      </c>
      <c r="P562" t="str">
        <f>IF(AND(F562="Nağd",G562&gt;5),M562*0.9,"0%")</f>
        <v>0%</v>
      </c>
      <c r="Q562" s="9" t="str">
        <f>IF(F562="Kredit",EOMONTH(B562,0),"")</f>
        <v/>
      </c>
      <c r="R562" s="17" t="str">
        <f>TEXT(B562,"dddd")</f>
        <v>Sunday</v>
      </c>
    </row>
    <row r="563" spans="1:18">
      <c r="A563" s="5" t="s">
        <v>570</v>
      </c>
      <c r="B563" s="8">
        <v>46140</v>
      </c>
      <c r="C563" s="5" t="s">
        <v>976</v>
      </c>
      <c r="D563" s="5" t="s">
        <v>20</v>
      </c>
      <c r="E563" s="5" t="s">
        <v>9</v>
      </c>
      <c r="F563" s="5" t="s">
        <v>7</v>
      </c>
      <c r="G563" s="5">
        <v>7</v>
      </c>
      <c r="H563" s="5" t="s">
        <v>963</v>
      </c>
      <c r="I563" s="13">
        <v>504125734</v>
      </c>
      <c r="J563" s="10" t="s">
        <v>1546</v>
      </c>
      <c r="K563" t="str">
        <f>LEFT(C563,FIND(" ",C563)-1)&amp;"-"&amp;E563&amp;" "&amp;"Filialina çardırılma"</f>
        <v>Nərgin-Gence Filialina çardırılma</v>
      </c>
      <c r="L563">
        <f>VLOOKUP(D563,Anbar!$A$2:$B$5,2,FALSE)</f>
        <v>15</v>
      </c>
      <c r="M563">
        <f>VLOOKUP(D563,Anbar!$A$2:$C$5,3,FALSE)</f>
        <v>45</v>
      </c>
      <c r="N563">
        <f t="shared" si="16"/>
        <v>315</v>
      </c>
      <c r="O563">
        <f t="shared" si="17"/>
        <v>210</v>
      </c>
      <c r="P563" t="str">
        <f>IF(AND(F563="Nağd",G563&gt;5),M563*0.9,"0%")</f>
        <v>0%</v>
      </c>
      <c r="Q563" s="9" t="str">
        <f>IF(F563="Kredit",EOMONTH(B563,0),"")</f>
        <v/>
      </c>
      <c r="R563" s="17" t="str">
        <f>TEXT(B563,"dddd")</f>
        <v>Tuesday</v>
      </c>
    </row>
    <row r="564" spans="1:18">
      <c r="A564" s="5" t="s">
        <v>571</v>
      </c>
      <c r="B564" s="8">
        <v>46072</v>
      </c>
      <c r="C564" s="5" t="s">
        <v>974</v>
      </c>
      <c r="D564" s="5" t="s">
        <v>20</v>
      </c>
      <c r="E564" s="5" t="s">
        <v>964</v>
      </c>
      <c r="F564" s="5" t="s">
        <v>4</v>
      </c>
      <c r="G564" s="5">
        <v>6</v>
      </c>
      <c r="H564" s="5" t="s">
        <v>963</v>
      </c>
      <c r="I564" s="13">
        <v>517225302</v>
      </c>
      <c r="J564" s="10" t="s">
        <v>1547</v>
      </c>
      <c r="K564" t="str">
        <f>LEFT(C564,FIND(" ",C564)-1)&amp;"-"&amp;E564&amp;" "&amp;"Filialina çardırılma"</f>
        <v>Ramil-Sumqayıt Filialina çardırılma</v>
      </c>
      <c r="L564">
        <f>VLOOKUP(D564,Anbar!$A$2:$B$5,2,FALSE)</f>
        <v>15</v>
      </c>
      <c r="M564">
        <f>VLOOKUP(D564,Anbar!$A$2:$C$5,3,FALSE)</f>
        <v>45</v>
      </c>
      <c r="N564">
        <f t="shared" si="16"/>
        <v>270</v>
      </c>
      <c r="O564">
        <f t="shared" si="17"/>
        <v>180</v>
      </c>
      <c r="P564" t="str">
        <f>IF(AND(F564="Nağd",G564&gt;5),M564*0.9,"0%")</f>
        <v>0%</v>
      </c>
      <c r="Q564" s="9">
        <f>IF(F564="Kredit",EOMONTH(B564,0),"")</f>
        <v>46081</v>
      </c>
      <c r="R564" s="17" t="str">
        <f>TEXT(B564,"dddd")</f>
        <v>Thursday</v>
      </c>
    </row>
    <row r="565" spans="1:18">
      <c r="A565" s="5" t="s">
        <v>572</v>
      </c>
      <c r="B565" s="8">
        <v>46090</v>
      </c>
      <c r="C565" s="5" t="s">
        <v>6</v>
      </c>
      <c r="D565" s="5" t="s">
        <v>971</v>
      </c>
      <c r="E565" s="5" t="s">
        <v>964</v>
      </c>
      <c r="F565" s="5" t="s">
        <v>965</v>
      </c>
      <c r="G565" s="5">
        <v>7</v>
      </c>
      <c r="H565" s="5" t="s">
        <v>963</v>
      </c>
      <c r="I565" s="13">
        <v>511432042</v>
      </c>
      <c r="J565" s="10" t="s">
        <v>1548</v>
      </c>
      <c r="K565" t="str">
        <f>LEFT(C565,FIND(" ",C565)-1)&amp;"-"&amp;E565&amp;" "&amp;"Filialina çardırılma"</f>
        <v>Zaur-Sumqayıt Filialina çardırılma</v>
      </c>
      <c r="L565">
        <f>VLOOKUP(D565,Anbar!$A$2:$B$5,2,FALSE)</f>
        <v>1200</v>
      </c>
      <c r="M565">
        <f>VLOOKUP(D565,Anbar!$A$2:$C$5,3,FALSE)</f>
        <v>1800</v>
      </c>
      <c r="N565">
        <f t="shared" si="16"/>
        <v>12600</v>
      </c>
      <c r="O565">
        <f t="shared" si="17"/>
        <v>4200</v>
      </c>
      <c r="P565">
        <f>IF(AND(F565="Nağd",G565&gt;5),M565*0.9,"0%")</f>
        <v>1620</v>
      </c>
      <c r="Q565" s="9" t="str">
        <f>IF(F565="Kredit",EOMONTH(B565,0),"")</f>
        <v/>
      </c>
      <c r="R565" s="17" t="str">
        <f>TEXT(B565,"dddd")</f>
        <v>Monday</v>
      </c>
    </row>
    <row r="566" spans="1:18">
      <c r="A566" s="5" t="s">
        <v>573</v>
      </c>
      <c r="B566" s="8">
        <v>46102</v>
      </c>
      <c r="C566" s="5" t="s">
        <v>975</v>
      </c>
      <c r="D566" s="5" t="s">
        <v>971</v>
      </c>
      <c r="E566" s="5" t="s">
        <v>9</v>
      </c>
      <c r="F566" s="5" t="s">
        <v>7</v>
      </c>
      <c r="G566" s="5">
        <v>7</v>
      </c>
      <c r="H566" s="5" t="s">
        <v>963</v>
      </c>
      <c r="I566" s="13">
        <v>504850370</v>
      </c>
      <c r="J566" s="10" t="s">
        <v>1549</v>
      </c>
      <c r="K566" t="str">
        <f>LEFT(C566,FIND(" ",C566)-1)&amp;"-"&amp;E566&amp;" "&amp;"Filialina çardırılma"</f>
        <v>Murad-Gence Filialina çardırılma</v>
      </c>
      <c r="L566">
        <f>VLOOKUP(D566,Anbar!$A$2:$B$5,2,FALSE)</f>
        <v>1200</v>
      </c>
      <c r="M566">
        <f>VLOOKUP(D566,Anbar!$A$2:$C$5,3,FALSE)</f>
        <v>1800</v>
      </c>
      <c r="N566">
        <f t="shared" si="16"/>
        <v>12600</v>
      </c>
      <c r="O566">
        <f t="shared" si="17"/>
        <v>4200</v>
      </c>
      <c r="P566" t="str">
        <f>IF(AND(F566="Nağd",G566&gt;5),M566*0.9,"0%")</f>
        <v>0%</v>
      </c>
      <c r="Q566" s="9" t="str">
        <f>IF(F566="Kredit",EOMONTH(B566,0),"")</f>
        <v/>
      </c>
      <c r="R566" s="17" t="str">
        <f>TEXT(B566,"dddd")</f>
        <v>Saturday</v>
      </c>
    </row>
    <row r="567" spans="1:18">
      <c r="A567" s="5" t="s">
        <v>574</v>
      </c>
      <c r="B567" s="8">
        <v>46087</v>
      </c>
      <c r="C567" s="5" t="s">
        <v>6</v>
      </c>
      <c r="D567" s="5" t="s">
        <v>971</v>
      </c>
      <c r="E567" s="5" t="s">
        <v>964</v>
      </c>
      <c r="F567" s="5" t="s">
        <v>4</v>
      </c>
      <c r="G567" s="5">
        <v>2</v>
      </c>
      <c r="H567" s="5" t="s">
        <v>963</v>
      </c>
      <c r="I567" s="13">
        <v>779242864</v>
      </c>
      <c r="J567" s="10" t="s">
        <v>1550</v>
      </c>
      <c r="K567" t="str">
        <f>LEFT(C567,FIND(" ",C567)-1)&amp;"-"&amp;E567&amp;" "&amp;"Filialina çardırılma"</f>
        <v>Zaur-Sumqayıt Filialina çardırılma</v>
      </c>
      <c r="L567">
        <f>VLOOKUP(D567,Anbar!$A$2:$B$5,2,FALSE)</f>
        <v>1200</v>
      </c>
      <c r="M567">
        <f>VLOOKUP(D567,Anbar!$A$2:$C$5,3,FALSE)</f>
        <v>1800</v>
      </c>
      <c r="N567">
        <f t="shared" si="16"/>
        <v>3600</v>
      </c>
      <c r="O567">
        <f t="shared" si="17"/>
        <v>1200</v>
      </c>
      <c r="P567" t="str">
        <f>IF(AND(F567="Nağd",G567&gt;5),M567*0.9,"0%")</f>
        <v>0%</v>
      </c>
      <c r="Q567" s="9">
        <f>IF(F567="Kredit",EOMONTH(B567,0),"")</f>
        <v>46112</v>
      </c>
      <c r="R567" s="17" t="str">
        <f>TEXT(B567,"dddd")</f>
        <v>Friday</v>
      </c>
    </row>
    <row r="568" spans="1:18">
      <c r="A568" s="5" t="s">
        <v>575</v>
      </c>
      <c r="B568" s="8">
        <v>46037</v>
      </c>
      <c r="C568" s="5" t="s">
        <v>967</v>
      </c>
      <c r="D568" s="5" t="s">
        <v>968</v>
      </c>
      <c r="E568" s="5" t="s">
        <v>964</v>
      </c>
      <c r="F568" s="5" t="s">
        <v>4</v>
      </c>
      <c r="G568" s="5">
        <v>2</v>
      </c>
      <c r="H568" s="5" t="s">
        <v>963</v>
      </c>
      <c r="I568" s="13">
        <v>772351213</v>
      </c>
      <c r="J568" s="10" t="s">
        <v>1551</v>
      </c>
      <c r="K568" t="str">
        <f>LEFT(C568,FIND(" ",C568)-1)&amp;"-"&amp;E568&amp;" "&amp;"Filialina çardırılma"</f>
        <v>Aysel-Sumqayıt Filialina çardırılma</v>
      </c>
      <c r="L568">
        <f>VLOOKUP(D568,Anbar!$A$2:$B$5,2,FALSE)</f>
        <v>400</v>
      </c>
      <c r="M568">
        <f>VLOOKUP(D568,Anbar!$A$2:$C$5,3,FALSE)</f>
        <v>650</v>
      </c>
      <c r="N568">
        <f t="shared" si="16"/>
        <v>1300</v>
      </c>
      <c r="O568">
        <f t="shared" si="17"/>
        <v>500</v>
      </c>
      <c r="P568" t="str">
        <f>IF(AND(F568="Nağd",G568&gt;5),M568*0.9,"0%")</f>
        <v>0%</v>
      </c>
      <c r="Q568" s="9">
        <f>IF(F568="Kredit",EOMONTH(B568,0),"")</f>
        <v>46053</v>
      </c>
      <c r="R568" s="17" t="str">
        <f>TEXT(B568,"dddd")</f>
        <v>Thursday</v>
      </c>
    </row>
    <row r="569" spans="1:18">
      <c r="A569" s="5" t="s">
        <v>576</v>
      </c>
      <c r="B569" s="8">
        <v>46045</v>
      </c>
      <c r="C569" s="5" t="s">
        <v>977</v>
      </c>
      <c r="D569" s="5" t="s">
        <v>20</v>
      </c>
      <c r="E569" s="5" t="s">
        <v>982</v>
      </c>
      <c r="F569" s="5" t="s">
        <v>4</v>
      </c>
      <c r="G569" s="5">
        <v>4</v>
      </c>
      <c r="H569" s="5" t="s">
        <v>963</v>
      </c>
      <c r="I569" s="13">
        <v>504328562</v>
      </c>
      <c r="J569" s="10" t="s">
        <v>1552</v>
      </c>
      <c r="K569" t="str">
        <f>LEFT(C569,FIND(" ",C569)-1)&amp;"-"&amp;E569&amp;" "&amp;"Filialina çardırılma"</f>
        <v>Elnur-Baki Filialina çardırılma</v>
      </c>
      <c r="L569">
        <f>VLOOKUP(D569,Anbar!$A$2:$B$5,2,FALSE)</f>
        <v>15</v>
      </c>
      <c r="M569">
        <f>VLOOKUP(D569,Anbar!$A$2:$C$5,3,FALSE)</f>
        <v>45</v>
      </c>
      <c r="N569">
        <f t="shared" si="16"/>
        <v>180</v>
      </c>
      <c r="O569">
        <f t="shared" si="17"/>
        <v>120</v>
      </c>
      <c r="P569" t="str">
        <f>IF(AND(F569="Nağd",G569&gt;5),M569*0.9,"0%")</f>
        <v>0%</v>
      </c>
      <c r="Q569" s="9">
        <f>IF(F569="Kredit",EOMONTH(B569,0),"")</f>
        <v>46053</v>
      </c>
      <c r="R569" s="17" t="str">
        <f>TEXT(B569,"dddd")</f>
        <v>Friday</v>
      </c>
    </row>
    <row r="570" spans="1:18">
      <c r="A570" s="5" t="s">
        <v>577</v>
      </c>
      <c r="B570" s="8">
        <v>46095</v>
      </c>
      <c r="C570" s="5" t="s">
        <v>976</v>
      </c>
      <c r="D570" s="5" t="s">
        <v>971</v>
      </c>
      <c r="E570" s="5" t="s">
        <v>9</v>
      </c>
      <c r="F570" s="5" t="s">
        <v>4</v>
      </c>
      <c r="G570" s="5">
        <v>10</v>
      </c>
      <c r="H570" s="5" t="s">
        <v>963</v>
      </c>
      <c r="I570" s="13">
        <v>704677778</v>
      </c>
      <c r="J570" s="10" t="s">
        <v>1553</v>
      </c>
      <c r="K570" t="str">
        <f>LEFT(C570,FIND(" ",C570)-1)&amp;"-"&amp;E570&amp;" "&amp;"Filialina çardırılma"</f>
        <v>Nərgin-Gence Filialina çardırılma</v>
      </c>
      <c r="L570">
        <f>VLOOKUP(D570,Anbar!$A$2:$B$5,2,FALSE)</f>
        <v>1200</v>
      </c>
      <c r="M570">
        <f>VLOOKUP(D570,Anbar!$A$2:$C$5,3,FALSE)</f>
        <v>1800</v>
      </c>
      <c r="N570">
        <f t="shared" si="16"/>
        <v>18000</v>
      </c>
      <c r="O570">
        <f t="shared" si="17"/>
        <v>6000</v>
      </c>
      <c r="P570" t="str">
        <f>IF(AND(F570="Nağd",G570&gt;5),M570*0.9,"0%")</f>
        <v>0%</v>
      </c>
      <c r="Q570" s="9">
        <f>IF(F570="Kredit",EOMONTH(B570,0),"")</f>
        <v>46112</v>
      </c>
      <c r="R570" s="17" t="str">
        <f>TEXT(B570,"dddd")</f>
        <v>Saturday</v>
      </c>
    </row>
    <row r="571" spans="1:18">
      <c r="A571" s="5" t="s">
        <v>578</v>
      </c>
      <c r="B571" s="8">
        <v>46078</v>
      </c>
      <c r="C571" s="5" t="s">
        <v>979</v>
      </c>
      <c r="D571" s="5" t="s">
        <v>15</v>
      </c>
      <c r="E571" s="5" t="s">
        <v>980</v>
      </c>
      <c r="F571" s="5" t="s">
        <v>7</v>
      </c>
      <c r="G571" s="5">
        <v>4</v>
      </c>
      <c r="H571" s="5" t="s">
        <v>963</v>
      </c>
      <c r="I571" s="13">
        <v>709330027</v>
      </c>
      <c r="J571" s="10" t="s">
        <v>1554</v>
      </c>
      <c r="K571" t="str">
        <f>LEFT(C571,FIND(" ",C571)-1)&amp;"-"&amp;E571&amp;" "&amp;"Filialina çardırılma"</f>
        <v>Leyla-Sumqayit Filialina çardırılma</v>
      </c>
      <c r="L571">
        <f>VLOOKUP(D571,Anbar!$A$2:$B$5,2,FALSE)</f>
        <v>600</v>
      </c>
      <c r="M571">
        <f>VLOOKUP(D571,Anbar!$A$2:$C$5,3,FALSE)</f>
        <v>950</v>
      </c>
      <c r="N571">
        <f t="shared" si="16"/>
        <v>3800</v>
      </c>
      <c r="O571">
        <f t="shared" si="17"/>
        <v>1400</v>
      </c>
      <c r="P571" t="str">
        <f>IF(AND(F571="Nağd",G571&gt;5),M571*0.9,"0%")</f>
        <v>0%</v>
      </c>
      <c r="Q571" s="9" t="str">
        <f>IF(F571="Kredit",EOMONTH(B571,0),"")</f>
        <v/>
      </c>
      <c r="R571" s="17" t="str">
        <f>TEXT(B571,"dddd")</f>
        <v>Wednesday</v>
      </c>
    </row>
    <row r="572" spans="1:18">
      <c r="A572" s="5" t="s">
        <v>579</v>
      </c>
      <c r="B572" s="8">
        <v>46117</v>
      </c>
      <c r="C572" s="5" t="s">
        <v>974</v>
      </c>
      <c r="D572" s="5" t="s">
        <v>971</v>
      </c>
      <c r="E572" s="5" t="s">
        <v>981</v>
      </c>
      <c r="F572" s="5" t="s">
        <v>965</v>
      </c>
      <c r="G572" s="5">
        <v>3</v>
      </c>
      <c r="H572" s="5" t="s">
        <v>963</v>
      </c>
      <c r="I572" s="13">
        <v>771956362</v>
      </c>
      <c r="J572" s="10" t="s">
        <v>1555</v>
      </c>
      <c r="K572" t="str">
        <f>LEFT(C572,FIND(" ",C572)-1)&amp;"-"&amp;E572&amp;" "&amp;"Filialina çardırılma"</f>
        <v>Ramil-Gəncə Filialina çardırılma</v>
      </c>
      <c r="L572">
        <f>VLOOKUP(D572,Anbar!$A$2:$B$5,2,FALSE)</f>
        <v>1200</v>
      </c>
      <c r="M572">
        <f>VLOOKUP(D572,Anbar!$A$2:$C$5,3,FALSE)</f>
        <v>1800</v>
      </c>
      <c r="N572">
        <f t="shared" si="16"/>
        <v>5400</v>
      </c>
      <c r="O572">
        <f t="shared" si="17"/>
        <v>1800</v>
      </c>
      <c r="P572" t="str">
        <f>IF(AND(F572="Nağd",G572&gt;5),M572*0.9,"0%")</f>
        <v>0%</v>
      </c>
      <c r="Q572" s="9" t="str">
        <f>IF(F572="Kredit",EOMONTH(B572,0),"")</f>
        <v/>
      </c>
      <c r="R572" s="17" t="str">
        <f>TEXT(B572,"dddd")</f>
        <v>Sunday</v>
      </c>
    </row>
    <row r="573" spans="1:18">
      <c r="A573" s="5" t="s">
        <v>580</v>
      </c>
      <c r="B573" s="8">
        <v>46162</v>
      </c>
      <c r="C573" s="5" t="s">
        <v>979</v>
      </c>
      <c r="D573" s="5" t="s">
        <v>971</v>
      </c>
      <c r="E573" s="5" t="s">
        <v>966</v>
      </c>
      <c r="F573" s="5" t="s">
        <v>4</v>
      </c>
      <c r="G573" s="5">
        <v>8</v>
      </c>
      <c r="H573" s="5" t="s">
        <v>963</v>
      </c>
      <c r="I573" s="13">
        <v>511383122</v>
      </c>
      <c r="J573" s="10" t="s">
        <v>1556</v>
      </c>
      <c r="K573" t="str">
        <f>LEFT(C573,FIND(" ",C573)-1)&amp;"-"&amp;E573&amp;" "&amp;"Filialina çardırılma"</f>
        <v>Leyla-Bakı Filialina çardırılma</v>
      </c>
      <c r="L573">
        <f>VLOOKUP(D573,Anbar!$A$2:$B$5,2,FALSE)</f>
        <v>1200</v>
      </c>
      <c r="M573">
        <f>VLOOKUP(D573,Anbar!$A$2:$C$5,3,FALSE)</f>
        <v>1800</v>
      </c>
      <c r="N573">
        <f t="shared" si="16"/>
        <v>14400</v>
      </c>
      <c r="O573">
        <f t="shared" si="17"/>
        <v>4800</v>
      </c>
      <c r="P573" t="str">
        <f>IF(AND(F573="Nağd",G573&gt;5),M573*0.9,"0%")</f>
        <v>0%</v>
      </c>
      <c r="Q573" s="9">
        <f>IF(F573="Kredit",EOMONTH(B573,0),"")</f>
        <v>46173</v>
      </c>
      <c r="R573" s="17" t="str">
        <f>TEXT(B573,"dddd")</f>
        <v>Wednesday</v>
      </c>
    </row>
    <row r="574" spans="1:18">
      <c r="A574" s="5" t="s">
        <v>581</v>
      </c>
      <c r="B574" s="8">
        <v>46040</v>
      </c>
      <c r="C574" s="5" t="s">
        <v>978</v>
      </c>
      <c r="D574" s="5" t="s">
        <v>971</v>
      </c>
      <c r="E574" s="5" t="s">
        <v>966</v>
      </c>
      <c r="F574" s="5" t="s">
        <v>965</v>
      </c>
      <c r="G574" s="5">
        <v>2</v>
      </c>
      <c r="H574" s="5" t="s">
        <v>963</v>
      </c>
      <c r="I574" s="13">
        <v>502816237</v>
      </c>
      <c r="J574" s="10" t="s">
        <v>1557</v>
      </c>
      <c r="K574" t="str">
        <f>LEFT(C574,FIND(" ",C574)-1)&amp;"-"&amp;E574&amp;" "&amp;"Filialina çardırılma"</f>
        <v>Əli-Bakı Filialina çardırılma</v>
      </c>
      <c r="L574">
        <f>VLOOKUP(D574,Anbar!$A$2:$B$5,2,FALSE)</f>
        <v>1200</v>
      </c>
      <c r="M574">
        <f>VLOOKUP(D574,Anbar!$A$2:$C$5,3,FALSE)</f>
        <v>1800</v>
      </c>
      <c r="N574">
        <f t="shared" si="16"/>
        <v>3600</v>
      </c>
      <c r="O574">
        <f t="shared" si="17"/>
        <v>1200</v>
      </c>
      <c r="P574" t="str">
        <f>IF(AND(F574="Nağd",G574&gt;5),M574*0.9,"0%")</f>
        <v>0%</v>
      </c>
      <c r="Q574" s="9" t="str">
        <f>IF(F574="Kredit",EOMONTH(B574,0),"")</f>
        <v/>
      </c>
      <c r="R574" s="17" t="str">
        <f>TEXT(B574,"dddd")</f>
        <v>Sunday</v>
      </c>
    </row>
    <row r="575" spans="1:18">
      <c r="A575" s="5" t="s">
        <v>582</v>
      </c>
      <c r="B575" s="8">
        <v>46067</v>
      </c>
      <c r="C575" s="5" t="s">
        <v>975</v>
      </c>
      <c r="D575" s="5" t="s">
        <v>971</v>
      </c>
      <c r="E575" s="5" t="s">
        <v>982</v>
      </c>
      <c r="F575" s="5" t="s">
        <v>4</v>
      </c>
      <c r="G575" s="5">
        <v>8</v>
      </c>
      <c r="H575" s="5" t="s">
        <v>963</v>
      </c>
      <c r="I575" s="13">
        <v>702413288</v>
      </c>
      <c r="J575" s="10" t="s">
        <v>1558</v>
      </c>
      <c r="K575" t="str">
        <f>LEFT(C575,FIND(" ",C575)-1)&amp;"-"&amp;E575&amp;" "&amp;"Filialina çardırılma"</f>
        <v>Murad-Baki Filialina çardırılma</v>
      </c>
      <c r="L575">
        <f>VLOOKUP(D575,Anbar!$A$2:$B$5,2,FALSE)</f>
        <v>1200</v>
      </c>
      <c r="M575">
        <f>VLOOKUP(D575,Anbar!$A$2:$C$5,3,FALSE)</f>
        <v>1800</v>
      </c>
      <c r="N575">
        <f t="shared" si="16"/>
        <v>14400</v>
      </c>
      <c r="O575">
        <f t="shared" si="17"/>
        <v>4800</v>
      </c>
      <c r="P575" t="str">
        <f>IF(AND(F575="Nağd",G575&gt;5),M575*0.9,"0%")</f>
        <v>0%</v>
      </c>
      <c r="Q575" s="9">
        <f>IF(F575="Kredit",EOMONTH(B575,0),"")</f>
        <v>46081</v>
      </c>
      <c r="R575" s="17" t="str">
        <f>TEXT(B575,"dddd")</f>
        <v>Saturday</v>
      </c>
    </row>
    <row r="576" spans="1:18">
      <c r="A576" s="5" t="s">
        <v>583</v>
      </c>
      <c r="B576" s="8">
        <v>46177</v>
      </c>
      <c r="C576" s="5" t="s">
        <v>976</v>
      </c>
      <c r="D576" s="5" t="s">
        <v>15</v>
      </c>
      <c r="E576" s="5" t="s">
        <v>9</v>
      </c>
      <c r="F576" s="5" t="s">
        <v>965</v>
      </c>
      <c r="G576" s="5">
        <v>6</v>
      </c>
      <c r="H576" s="5" t="s">
        <v>963</v>
      </c>
      <c r="I576" s="13">
        <v>771568986</v>
      </c>
      <c r="J576" s="10" t="s">
        <v>1559</v>
      </c>
      <c r="K576" t="str">
        <f>LEFT(C576,FIND(" ",C576)-1)&amp;"-"&amp;E576&amp;" "&amp;"Filialina çardırılma"</f>
        <v>Nərgin-Gence Filialina çardırılma</v>
      </c>
      <c r="L576">
        <f>VLOOKUP(D576,Anbar!$A$2:$B$5,2,FALSE)</f>
        <v>600</v>
      </c>
      <c r="M576">
        <f>VLOOKUP(D576,Anbar!$A$2:$C$5,3,FALSE)</f>
        <v>950</v>
      </c>
      <c r="N576">
        <f t="shared" si="16"/>
        <v>5700</v>
      </c>
      <c r="O576">
        <f t="shared" si="17"/>
        <v>2100</v>
      </c>
      <c r="P576">
        <f>IF(AND(F576="Nağd",G576&gt;5),M576*0.9,"0%")</f>
        <v>855</v>
      </c>
      <c r="Q576" s="9" t="str">
        <f>IF(F576="Kredit",EOMONTH(B576,0),"")</f>
        <v/>
      </c>
      <c r="R576" s="17" t="str">
        <f>TEXT(B576,"dddd")</f>
        <v>Thursday</v>
      </c>
    </row>
    <row r="577" spans="1:18">
      <c r="A577" s="5" t="s">
        <v>584</v>
      </c>
      <c r="B577" s="8">
        <v>46142</v>
      </c>
      <c r="C577" s="5" t="s">
        <v>976</v>
      </c>
      <c r="D577" s="5" t="s">
        <v>968</v>
      </c>
      <c r="E577" s="5" t="s">
        <v>982</v>
      </c>
      <c r="F577" s="5" t="s">
        <v>4</v>
      </c>
      <c r="G577" s="5">
        <v>5</v>
      </c>
      <c r="H577" s="5" t="s">
        <v>963</v>
      </c>
      <c r="I577" s="13">
        <v>506417288</v>
      </c>
      <c r="J577" s="10" t="s">
        <v>1560</v>
      </c>
      <c r="K577" t="str">
        <f>LEFT(C577,FIND(" ",C577)-1)&amp;"-"&amp;E577&amp;" "&amp;"Filialina çardırılma"</f>
        <v>Nərgin-Baki Filialina çardırılma</v>
      </c>
      <c r="L577">
        <f>VLOOKUP(D577,Anbar!$A$2:$B$5,2,FALSE)</f>
        <v>400</v>
      </c>
      <c r="M577">
        <f>VLOOKUP(D577,Anbar!$A$2:$C$5,3,FALSE)</f>
        <v>650</v>
      </c>
      <c r="N577">
        <f t="shared" si="16"/>
        <v>3250</v>
      </c>
      <c r="O577">
        <f t="shared" si="17"/>
        <v>1250</v>
      </c>
      <c r="P577" t="str">
        <f>IF(AND(F577="Nağd",G577&gt;5),M577*0.9,"0%")</f>
        <v>0%</v>
      </c>
      <c r="Q577" s="9">
        <f>IF(F577="Kredit",EOMONTH(B577,0),"")</f>
        <v>46142</v>
      </c>
      <c r="R577" s="17" t="str">
        <f>TEXT(B577,"dddd")</f>
        <v>Thursday</v>
      </c>
    </row>
    <row r="578" spans="1:18">
      <c r="A578" s="5" t="s">
        <v>585</v>
      </c>
      <c r="B578" s="8">
        <v>46118</v>
      </c>
      <c r="C578" s="5" t="s">
        <v>967</v>
      </c>
      <c r="D578" s="5" t="s">
        <v>971</v>
      </c>
      <c r="E578" s="5" t="s">
        <v>982</v>
      </c>
      <c r="F578" s="5" t="s">
        <v>7</v>
      </c>
      <c r="G578" s="5">
        <v>6</v>
      </c>
      <c r="H578" s="5" t="s">
        <v>963</v>
      </c>
      <c r="I578" s="13">
        <v>774613465</v>
      </c>
      <c r="J578" s="10" t="s">
        <v>1561</v>
      </c>
      <c r="K578" t="str">
        <f>LEFT(C578,FIND(" ",C578)-1)&amp;"-"&amp;E578&amp;" "&amp;"Filialina çardırılma"</f>
        <v>Aysel-Baki Filialina çardırılma</v>
      </c>
      <c r="L578">
        <f>VLOOKUP(D578,Anbar!$A$2:$B$5,2,FALSE)</f>
        <v>1200</v>
      </c>
      <c r="M578">
        <f>VLOOKUP(D578,Anbar!$A$2:$C$5,3,FALSE)</f>
        <v>1800</v>
      </c>
      <c r="N578">
        <f t="shared" si="16"/>
        <v>10800</v>
      </c>
      <c r="O578">
        <f t="shared" si="17"/>
        <v>3600</v>
      </c>
      <c r="P578" t="str">
        <f>IF(AND(F578="Nağd",G578&gt;5),M578*0.9,"0%")</f>
        <v>0%</v>
      </c>
      <c r="Q578" s="9" t="str">
        <f>IF(F578="Kredit",EOMONTH(B578,0),"")</f>
        <v/>
      </c>
      <c r="R578" s="17" t="str">
        <f>TEXT(B578,"dddd")</f>
        <v>Monday</v>
      </c>
    </row>
    <row r="579" spans="1:18">
      <c r="A579" s="5" t="s">
        <v>586</v>
      </c>
      <c r="B579" s="8">
        <v>46120</v>
      </c>
      <c r="C579" s="5" t="s">
        <v>976</v>
      </c>
      <c r="D579" s="5" t="s">
        <v>971</v>
      </c>
      <c r="E579" s="5" t="s">
        <v>964</v>
      </c>
      <c r="F579" s="5" t="s">
        <v>4</v>
      </c>
      <c r="G579" s="5">
        <v>3</v>
      </c>
      <c r="H579" s="5" t="s">
        <v>963</v>
      </c>
      <c r="I579" s="13">
        <v>707189641</v>
      </c>
      <c r="J579" s="10" t="s">
        <v>1562</v>
      </c>
      <c r="K579" t="str">
        <f>LEFT(C579,FIND(" ",C579)-1)&amp;"-"&amp;E579&amp;" "&amp;"Filialina çardırılma"</f>
        <v>Nərgin-Sumqayıt Filialina çardırılma</v>
      </c>
      <c r="L579">
        <f>VLOOKUP(D579,Anbar!$A$2:$B$5,2,FALSE)</f>
        <v>1200</v>
      </c>
      <c r="M579">
        <f>VLOOKUP(D579,Anbar!$A$2:$C$5,3,FALSE)</f>
        <v>1800</v>
      </c>
      <c r="N579">
        <f t="shared" ref="N579:N642" si="18">G579*M579</f>
        <v>5400</v>
      </c>
      <c r="O579">
        <f t="shared" ref="O579:O642" si="19">(M579-L579)*G579</f>
        <v>1800</v>
      </c>
      <c r="P579" t="str">
        <f>IF(AND(F579="Nağd",G579&gt;5),M579*0.9,"0%")</f>
        <v>0%</v>
      </c>
      <c r="Q579" s="9">
        <f>IF(F579="Kredit",EOMONTH(B579,0),"")</f>
        <v>46142</v>
      </c>
      <c r="R579" s="17" t="str">
        <f>TEXT(B579,"dddd")</f>
        <v>Wednesday</v>
      </c>
    </row>
    <row r="580" spans="1:18">
      <c r="A580" s="5" t="s">
        <v>587</v>
      </c>
      <c r="B580" s="8">
        <v>46134</v>
      </c>
      <c r="C580" s="5" t="s">
        <v>977</v>
      </c>
      <c r="D580" s="5" t="s">
        <v>20</v>
      </c>
      <c r="E580" s="5" t="s">
        <v>980</v>
      </c>
      <c r="F580" s="5" t="s">
        <v>7</v>
      </c>
      <c r="G580" s="5">
        <v>10</v>
      </c>
      <c r="H580" s="5" t="s">
        <v>963</v>
      </c>
      <c r="I580" s="13">
        <v>550004126</v>
      </c>
      <c r="J580" s="10" t="s">
        <v>1563</v>
      </c>
      <c r="K580" t="str">
        <f>LEFT(C580,FIND(" ",C580)-1)&amp;"-"&amp;E580&amp;" "&amp;"Filialina çardırılma"</f>
        <v>Elnur-Sumqayit Filialina çardırılma</v>
      </c>
      <c r="L580">
        <f>VLOOKUP(D580,Anbar!$A$2:$B$5,2,FALSE)</f>
        <v>15</v>
      </c>
      <c r="M580">
        <f>VLOOKUP(D580,Anbar!$A$2:$C$5,3,FALSE)</f>
        <v>45</v>
      </c>
      <c r="N580">
        <f t="shared" si="18"/>
        <v>450</v>
      </c>
      <c r="O580">
        <f t="shared" si="19"/>
        <v>300</v>
      </c>
      <c r="P580" t="str">
        <f>IF(AND(F580="Nağd",G580&gt;5),M580*0.9,"0%")</f>
        <v>0%</v>
      </c>
      <c r="Q580" s="9" t="str">
        <f>IF(F580="Kredit",EOMONTH(B580,0),"")</f>
        <v/>
      </c>
      <c r="R580" s="17" t="str">
        <f>TEXT(B580,"dddd")</f>
        <v>Wednesday</v>
      </c>
    </row>
    <row r="581" spans="1:18">
      <c r="A581" s="5" t="s">
        <v>588</v>
      </c>
      <c r="B581" s="8">
        <v>46133</v>
      </c>
      <c r="C581" s="5" t="s">
        <v>967</v>
      </c>
      <c r="D581" s="5" t="s">
        <v>971</v>
      </c>
      <c r="E581" s="5" t="s">
        <v>980</v>
      </c>
      <c r="F581" s="5" t="s">
        <v>965</v>
      </c>
      <c r="G581" s="5">
        <v>9</v>
      </c>
      <c r="H581" s="5" t="s">
        <v>963</v>
      </c>
      <c r="I581" s="13">
        <v>770761620</v>
      </c>
      <c r="J581" s="10" t="s">
        <v>1564</v>
      </c>
      <c r="K581" t="str">
        <f>LEFT(C581,FIND(" ",C581)-1)&amp;"-"&amp;E581&amp;" "&amp;"Filialina çardırılma"</f>
        <v>Aysel-Sumqayit Filialina çardırılma</v>
      </c>
      <c r="L581">
        <f>VLOOKUP(D581,Anbar!$A$2:$B$5,2,FALSE)</f>
        <v>1200</v>
      </c>
      <c r="M581">
        <f>VLOOKUP(D581,Anbar!$A$2:$C$5,3,FALSE)</f>
        <v>1800</v>
      </c>
      <c r="N581">
        <f t="shared" si="18"/>
        <v>16200</v>
      </c>
      <c r="O581">
        <f t="shared" si="19"/>
        <v>5400</v>
      </c>
      <c r="P581">
        <f>IF(AND(F581="Nağd",G581&gt;5),M581*0.9,"0%")</f>
        <v>1620</v>
      </c>
      <c r="Q581" s="9" t="str">
        <f>IF(F581="Kredit",EOMONTH(B581,0),"")</f>
        <v/>
      </c>
      <c r="R581" s="17" t="str">
        <f>TEXT(B581,"dddd")</f>
        <v>Tuesday</v>
      </c>
    </row>
    <row r="582" spans="1:18">
      <c r="A582" s="5" t="s">
        <v>589</v>
      </c>
      <c r="B582" s="8">
        <v>46151</v>
      </c>
      <c r="C582" s="5" t="s">
        <v>6</v>
      </c>
      <c r="D582" s="5" t="s">
        <v>15</v>
      </c>
      <c r="E582" s="5" t="s">
        <v>980</v>
      </c>
      <c r="F582" s="5" t="s">
        <v>965</v>
      </c>
      <c r="G582" s="5">
        <v>9</v>
      </c>
      <c r="H582" s="5" t="s">
        <v>963</v>
      </c>
      <c r="I582" s="13">
        <v>700763602</v>
      </c>
      <c r="J582" s="10" t="s">
        <v>1565</v>
      </c>
      <c r="K582" t="str">
        <f>LEFT(C582,FIND(" ",C582)-1)&amp;"-"&amp;E582&amp;" "&amp;"Filialina çardırılma"</f>
        <v>Zaur-Sumqayit Filialina çardırılma</v>
      </c>
      <c r="L582">
        <f>VLOOKUP(D582,Anbar!$A$2:$B$5,2,FALSE)</f>
        <v>600</v>
      </c>
      <c r="M582">
        <f>VLOOKUP(D582,Anbar!$A$2:$C$5,3,FALSE)</f>
        <v>950</v>
      </c>
      <c r="N582">
        <f t="shared" si="18"/>
        <v>8550</v>
      </c>
      <c r="O582">
        <f t="shared" si="19"/>
        <v>3150</v>
      </c>
      <c r="P582">
        <f>IF(AND(F582="Nağd",G582&gt;5),M582*0.9,"0%")</f>
        <v>855</v>
      </c>
      <c r="Q582" s="9" t="str">
        <f>IF(F582="Kredit",EOMONTH(B582,0),"")</f>
        <v/>
      </c>
      <c r="R582" s="17" t="str">
        <f>TEXT(B582,"dddd")</f>
        <v>Saturday</v>
      </c>
    </row>
    <row r="583" spans="1:18">
      <c r="A583" s="5" t="s">
        <v>590</v>
      </c>
      <c r="B583" s="8">
        <v>46038</v>
      </c>
      <c r="C583" s="5" t="s">
        <v>975</v>
      </c>
      <c r="D583" s="5" t="s">
        <v>15</v>
      </c>
      <c r="E583" s="5" t="s">
        <v>981</v>
      </c>
      <c r="F583" s="5" t="s">
        <v>7</v>
      </c>
      <c r="G583" s="5">
        <v>3</v>
      </c>
      <c r="H583" s="5" t="s">
        <v>963</v>
      </c>
      <c r="I583" s="13">
        <v>707144001</v>
      </c>
      <c r="J583" s="10" t="s">
        <v>1566</v>
      </c>
      <c r="K583" t="str">
        <f>LEFT(C583,FIND(" ",C583)-1)&amp;"-"&amp;E583&amp;" "&amp;"Filialina çardırılma"</f>
        <v>Murad-Gəncə Filialina çardırılma</v>
      </c>
      <c r="L583">
        <f>VLOOKUP(D583,Anbar!$A$2:$B$5,2,FALSE)</f>
        <v>600</v>
      </c>
      <c r="M583">
        <f>VLOOKUP(D583,Anbar!$A$2:$C$5,3,FALSE)</f>
        <v>950</v>
      </c>
      <c r="N583">
        <f t="shared" si="18"/>
        <v>2850</v>
      </c>
      <c r="O583">
        <f t="shared" si="19"/>
        <v>1050</v>
      </c>
      <c r="P583" t="str">
        <f>IF(AND(F583="Nağd",G583&gt;5),M583*0.9,"0%")</f>
        <v>0%</v>
      </c>
      <c r="Q583" s="9" t="str">
        <f>IF(F583="Kredit",EOMONTH(B583,0),"")</f>
        <v/>
      </c>
      <c r="R583" s="17" t="str">
        <f>TEXT(B583,"dddd")</f>
        <v>Friday</v>
      </c>
    </row>
    <row r="584" spans="1:18">
      <c r="A584" s="5" t="s">
        <v>591</v>
      </c>
      <c r="B584" s="8">
        <v>46032</v>
      </c>
      <c r="C584" s="5" t="s">
        <v>976</v>
      </c>
      <c r="D584" s="5" t="s">
        <v>15</v>
      </c>
      <c r="E584" s="5" t="s">
        <v>982</v>
      </c>
      <c r="F584" s="5" t="s">
        <v>965</v>
      </c>
      <c r="G584" s="5">
        <v>9</v>
      </c>
      <c r="H584" s="5" t="s">
        <v>963</v>
      </c>
      <c r="I584" s="13">
        <v>555730000</v>
      </c>
      <c r="J584" s="10" t="s">
        <v>1567</v>
      </c>
      <c r="K584" t="str">
        <f>LEFT(C584,FIND(" ",C584)-1)&amp;"-"&amp;E584&amp;" "&amp;"Filialina çardırılma"</f>
        <v>Nərgin-Baki Filialina çardırılma</v>
      </c>
      <c r="L584">
        <f>VLOOKUP(D584,Anbar!$A$2:$B$5,2,FALSE)</f>
        <v>600</v>
      </c>
      <c r="M584">
        <f>VLOOKUP(D584,Anbar!$A$2:$C$5,3,FALSE)</f>
        <v>950</v>
      </c>
      <c r="N584">
        <f t="shared" si="18"/>
        <v>8550</v>
      </c>
      <c r="O584">
        <f t="shared" si="19"/>
        <v>3150</v>
      </c>
      <c r="P584">
        <f>IF(AND(F584="Nağd",G584&gt;5),M584*0.9,"0%")</f>
        <v>855</v>
      </c>
      <c r="Q584" s="9" t="str">
        <f>IF(F584="Kredit",EOMONTH(B584,0),"")</f>
        <v/>
      </c>
      <c r="R584" s="17" t="str">
        <f>TEXT(B584,"dddd")</f>
        <v>Saturday</v>
      </c>
    </row>
    <row r="585" spans="1:18">
      <c r="A585" s="5" t="s">
        <v>592</v>
      </c>
      <c r="B585" s="8">
        <v>46056</v>
      </c>
      <c r="C585" s="5" t="s">
        <v>6</v>
      </c>
      <c r="D585" s="5" t="s">
        <v>15</v>
      </c>
      <c r="E585" s="5" t="s">
        <v>9</v>
      </c>
      <c r="F585" s="5" t="s">
        <v>7</v>
      </c>
      <c r="G585" s="5">
        <v>9</v>
      </c>
      <c r="H585" s="5" t="s">
        <v>963</v>
      </c>
      <c r="I585" s="13">
        <v>508688199</v>
      </c>
      <c r="J585" s="10" t="s">
        <v>1568</v>
      </c>
      <c r="K585" t="str">
        <f>LEFT(C585,FIND(" ",C585)-1)&amp;"-"&amp;E585&amp;" "&amp;"Filialina çardırılma"</f>
        <v>Zaur-Gence Filialina çardırılma</v>
      </c>
      <c r="L585">
        <f>VLOOKUP(D585,Anbar!$A$2:$B$5,2,FALSE)</f>
        <v>600</v>
      </c>
      <c r="M585">
        <f>VLOOKUP(D585,Anbar!$A$2:$C$5,3,FALSE)</f>
        <v>950</v>
      </c>
      <c r="N585">
        <f t="shared" si="18"/>
        <v>8550</v>
      </c>
      <c r="O585">
        <f t="shared" si="19"/>
        <v>3150</v>
      </c>
      <c r="P585" t="str">
        <f>IF(AND(F585="Nağd",G585&gt;5),M585*0.9,"0%")</f>
        <v>0%</v>
      </c>
      <c r="Q585" s="9" t="str">
        <f>IF(F585="Kredit",EOMONTH(B585,0),"")</f>
        <v/>
      </c>
      <c r="R585" s="17" t="str">
        <f>TEXT(B585,"dddd")</f>
        <v>Tuesday</v>
      </c>
    </row>
    <row r="586" spans="1:18">
      <c r="A586" s="5" t="s">
        <v>593</v>
      </c>
      <c r="B586" s="8">
        <v>46126</v>
      </c>
      <c r="C586" s="5" t="s">
        <v>978</v>
      </c>
      <c r="D586" s="5" t="s">
        <v>15</v>
      </c>
      <c r="E586" s="5" t="s">
        <v>982</v>
      </c>
      <c r="F586" s="5" t="s">
        <v>965</v>
      </c>
      <c r="G586" s="5">
        <v>4</v>
      </c>
      <c r="H586" s="5" t="s">
        <v>963</v>
      </c>
      <c r="I586" s="13">
        <v>514205611</v>
      </c>
      <c r="J586" s="10" t="s">
        <v>1569</v>
      </c>
      <c r="K586" t="str">
        <f>LEFT(C586,FIND(" ",C586)-1)&amp;"-"&amp;E586&amp;" "&amp;"Filialina çardırılma"</f>
        <v>Əli-Baki Filialina çardırılma</v>
      </c>
      <c r="L586">
        <f>VLOOKUP(D586,Anbar!$A$2:$B$5,2,FALSE)</f>
        <v>600</v>
      </c>
      <c r="M586">
        <f>VLOOKUP(D586,Anbar!$A$2:$C$5,3,FALSE)</f>
        <v>950</v>
      </c>
      <c r="N586">
        <f t="shared" si="18"/>
        <v>3800</v>
      </c>
      <c r="O586">
        <f t="shared" si="19"/>
        <v>1400</v>
      </c>
      <c r="P586" t="str">
        <f>IF(AND(F586="Nağd",G586&gt;5),M586*0.9,"0%")</f>
        <v>0%</v>
      </c>
      <c r="Q586" s="9" t="str">
        <f>IF(F586="Kredit",EOMONTH(B586,0),"")</f>
        <v/>
      </c>
      <c r="R586" s="17" t="str">
        <f>TEXT(B586,"dddd")</f>
        <v>Tuesday</v>
      </c>
    </row>
    <row r="587" spans="1:18">
      <c r="A587" s="5" t="s">
        <v>594</v>
      </c>
      <c r="B587" s="8">
        <v>46030</v>
      </c>
      <c r="C587" s="5" t="s">
        <v>975</v>
      </c>
      <c r="D587" s="5" t="s">
        <v>968</v>
      </c>
      <c r="E587" s="5" t="s">
        <v>966</v>
      </c>
      <c r="F587" s="5" t="s">
        <v>4</v>
      </c>
      <c r="G587" s="5">
        <v>6</v>
      </c>
      <c r="H587" s="5" t="s">
        <v>963</v>
      </c>
      <c r="I587" s="13">
        <v>705945506</v>
      </c>
      <c r="J587" s="10" t="s">
        <v>1570</v>
      </c>
      <c r="K587" t="str">
        <f>LEFT(C587,FIND(" ",C587)-1)&amp;"-"&amp;E587&amp;" "&amp;"Filialina çardırılma"</f>
        <v>Murad-Bakı Filialina çardırılma</v>
      </c>
      <c r="L587">
        <f>VLOOKUP(D587,Anbar!$A$2:$B$5,2,FALSE)</f>
        <v>400</v>
      </c>
      <c r="M587">
        <f>VLOOKUP(D587,Anbar!$A$2:$C$5,3,FALSE)</f>
        <v>650</v>
      </c>
      <c r="N587">
        <f t="shared" si="18"/>
        <v>3900</v>
      </c>
      <c r="O587">
        <f t="shared" si="19"/>
        <v>1500</v>
      </c>
      <c r="P587" t="str">
        <f>IF(AND(F587="Nağd",G587&gt;5),M587*0.9,"0%")</f>
        <v>0%</v>
      </c>
      <c r="Q587" s="9">
        <f>IF(F587="Kredit",EOMONTH(B587,0),"")</f>
        <v>46053</v>
      </c>
      <c r="R587" s="17" t="str">
        <f>TEXT(B587,"dddd")</f>
        <v>Thursday</v>
      </c>
    </row>
    <row r="588" spans="1:18">
      <c r="A588" s="5" t="s">
        <v>595</v>
      </c>
      <c r="B588" s="8">
        <v>46123</v>
      </c>
      <c r="C588" s="5" t="s">
        <v>6</v>
      </c>
      <c r="D588" s="5" t="s">
        <v>20</v>
      </c>
      <c r="E588" s="5" t="s">
        <v>980</v>
      </c>
      <c r="F588" s="5" t="s">
        <v>7</v>
      </c>
      <c r="G588" s="5">
        <v>7</v>
      </c>
      <c r="H588" s="5" t="s">
        <v>963</v>
      </c>
      <c r="I588" s="13">
        <v>509731395</v>
      </c>
      <c r="J588" s="10" t="s">
        <v>1571</v>
      </c>
      <c r="K588" t="str">
        <f>LEFT(C588,FIND(" ",C588)-1)&amp;"-"&amp;E588&amp;" "&amp;"Filialina çardırılma"</f>
        <v>Zaur-Sumqayit Filialina çardırılma</v>
      </c>
      <c r="L588">
        <f>VLOOKUP(D588,Anbar!$A$2:$B$5,2,FALSE)</f>
        <v>15</v>
      </c>
      <c r="M588">
        <f>VLOOKUP(D588,Anbar!$A$2:$C$5,3,FALSE)</f>
        <v>45</v>
      </c>
      <c r="N588">
        <f t="shared" si="18"/>
        <v>315</v>
      </c>
      <c r="O588">
        <f t="shared" si="19"/>
        <v>210</v>
      </c>
      <c r="P588" t="str">
        <f>IF(AND(F588="Nağd",G588&gt;5),M588*0.9,"0%")</f>
        <v>0%</v>
      </c>
      <c r="Q588" s="9" t="str">
        <f>IF(F588="Kredit",EOMONTH(B588,0),"")</f>
        <v/>
      </c>
      <c r="R588" s="17" t="str">
        <f>TEXT(B588,"dddd")</f>
        <v>Saturday</v>
      </c>
    </row>
    <row r="589" spans="1:18">
      <c r="A589" s="5" t="s">
        <v>596</v>
      </c>
      <c r="B589" s="8">
        <v>46130</v>
      </c>
      <c r="C589" s="5" t="s">
        <v>977</v>
      </c>
      <c r="D589" s="5" t="s">
        <v>20</v>
      </c>
      <c r="E589" s="5" t="s">
        <v>980</v>
      </c>
      <c r="F589" s="5" t="s">
        <v>965</v>
      </c>
      <c r="G589" s="5">
        <v>5</v>
      </c>
      <c r="H589" s="5" t="s">
        <v>963</v>
      </c>
      <c r="I589" s="13">
        <v>550325834</v>
      </c>
      <c r="J589" s="10" t="s">
        <v>1572</v>
      </c>
      <c r="K589" t="str">
        <f>LEFT(C589,FIND(" ",C589)-1)&amp;"-"&amp;E589&amp;" "&amp;"Filialina çardırılma"</f>
        <v>Elnur-Sumqayit Filialina çardırılma</v>
      </c>
      <c r="L589">
        <f>VLOOKUP(D589,Anbar!$A$2:$B$5,2,FALSE)</f>
        <v>15</v>
      </c>
      <c r="M589">
        <f>VLOOKUP(D589,Anbar!$A$2:$C$5,3,FALSE)</f>
        <v>45</v>
      </c>
      <c r="N589">
        <f t="shared" si="18"/>
        <v>225</v>
      </c>
      <c r="O589">
        <f t="shared" si="19"/>
        <v>150</v>
      </c>
      <c r="P589" t="str">
        <f>IF(AND(F589="Nağd",G589&gt;5),M589*0.9,"0%")</f>
        <v>0%</v>
      </c>
      <c r="Q589" s="9" t="str">
        <f>IF(F589="Kredit",EOMONTH(B589,0),"")</f>
        <v/>
      </c>
      <c r="R589" s="17" t="str">
        <f>TEXT(B589,"dddd")</f>
        <v>Saturday</v>
      </c>
    </row>
    <row r="590" spans="1:18">
      <c r="A590" s="5" t="s">
        <v>597</v>
      </c>
      <c r="B590" s="8">
        <v>46125</v>
      </c>
      <c r="C590" s="5" t="s">
        <v>967</v>
      </c>
      <c r="D590" s="5" t="s">
        <v>15</v>
      </c>
      <c r="E590" s="5" t="s">
        <v>964</v>
      </c>
      <c r="F590" s="5" t="s">
        <v>965</v>
      </c>
      <c r="G590" s="5">
        <v>3</v>
      </c>
      <c r="H590" s="5" t="s">
        <v>963</v>
      </c>
      <c r="I590" s="13">
        <v>502125776</v>
      </c>
      <c r="J590" s="10" t="s">
        <v>1573</v>
      </c>
      <c r="K590" t="str">
        <f>LEFT(C590,FIND(" ",C590)-1)&amp;"-"&amp;E590&amp;" "&amp;"Filialina çardırılma"</f>
        <v>Aysel-Sumqayıt Filialina çardırılma</v>
      </c>
      <c r="L590">
        <f>VLOOKUP(D590,Anbar!$A$2:$B$5,2,FALSE)</f>
        <v>600</v>
      </c>
      <c r="M590">
        <f>VLOOKUP(D590,Anbar!$A$2:$C$5,3,FALSE)</f>
        <v>950</v>
      </c>
      <c r="N590">
        <f t="shared" si="18"/>
        <v>2850</v>
      </c>
      <c r="O590">
        <f t="shared" si="19"/>
        <v>1050</v>
      </c>
      <c r="P590" t="str">
        <f>IF(AND(F590="Nağd",G590&gt;5),M590*0.9,"0%")</f>
        <v>0%</v>
      </c>
      <c r="Q590" s="9" t="str">
        <f>IF(F590="Kredit",EOMONTH(B590,0),"")</f>
        <v/>
      </c>
      <c r="R590" s="17" t="str">
        <f>TEXT(B590,"dddd")</f>
        <v>Monday</v>
      </c>
    </row>
    <row r="591" spans="1:18">
      <c r="A591" s="5" t="s">
        <v>598</v>
      </c>
      <c r="B591" s="8">
        <v>46041</v>
      </c>
      <c r="C591" s="5" t="s">
        <v>977</v>
      </c>
      <c r="D591" s="5" t="s">
        <v>15</v>
      </c>
      <c r="E591" s="5" t="s">
        <v>982</v>
      </c>
      <c r="F591" s="5" t="s">
        <v>965</v>
      </c>
      <c r="G591" s="5">
        <v>5</v>
      </c>
      <c r="H591" s="5" t="s">
        <v>963</v>
      </c>
      <c r="I591" s="13">
        <v>519840843</v>
      </c>
      <c r="J591" s="10" t="s">
        <v>1574</v>
      </c>
      <c r="K591" t="str">
        <f>LEFT(C591,FIND(" ",C591)-1)&amp;"-"&amp;E591&amp;" "&amp;"Filialina çardırılma"</f>
        <v>Elnur-Baki Filialina çardırılma</v>
      </c>
      <c r="L591">
        <f>VLOOKUP(D591,Anbar!$A$2:$B$5,2,FALSE)</f>
        <v>600</v>
      </c>
      <c r="M591">
        <f>VLOOKUP(D591,Anbar!$A$2:$C$5,3,FALSE)</f>
        <v>950</v>
      </c>
      <c r="N591">
        <f t="shared" si="18"/>
        <v>4750</v>
      </c>
      <c r="O591">
        <f t="shared" si="19"/>
        <v>1750</v>
      </c>
      <c r="P591" t="str">
        <f>IF(AND(F591="Nağd",G591&gt;5),M591*0.9,"0%")</f>
        <v>0%</v>
      </c>
      <c r="Q591" s="9" t="str">
        <f>IF(F591="Kredit",EOMONTH(B591,0),"")</f>
        <v/>
      </c>
      <c r="R591" s="17" t="str">
        <f>TEXT(B591,"dddd")</f>
        <v>Monday</v>
      </c>
    </row>
    <row r="592" spans="1:18">
      <c r="A592" s="5" t="s">
        <v>599</v>
      </c>
      <c r="B592" s="8">
        <v>46033</v>
      </c>
      <c r="C592" s="5" t="s">
        <v>6</v>
      </c>
      <c r="D592" s="5" t="s">
        <v>15</v>
      </c>
      <c r="E592" s="5" t="s">
        <v>981</v>
      </c>
      <c r="F592" s="5" t="s">
        <v>7</v>
      </c>
      <c r="G592" s="5">
        <v>6</v>
      </c>
      <c r="H592" s="5" t="s">
        <v>963</v>
      </c>
      <c r="I592" s="13">
        <v>509191508</v>
      </c>
      <c r="J592" s="10" t="s">
        <v>1575</v>
      </c>
      <c r="K592" t="str">
        <f>LEFT(C592,FIND(" ",C592)-1)&amp;"-"&amp;E592&amp;" "&amp;"Filialina çardırılma"</f>
        <v>Zaur-Gəncə Filialina çardırılma</v>
      </c>
      <c r="L592">
        <f>VLOOKUP(D592,Anbar!$A$2:$B$5,2,FALSE)</f>
        <v>600</v>
      </c>
      <c r="M592">
        <f>VLOOKUP(D592,Anbar!$A$2:$C$5,3,FALSE)</f>
        <v>950</v>
      </c>
      <c r="N592">
        <f t="shared" si="18"/>
        <v>5700</v>
      </c>
      <c r="O592">
        <f t="shared" si="19"/>
        <v>2100</v>
      </c>
      <c r="P592" t="str">
        <f>IF(AND(F592="Nağd",G592&gt;5),M592*0.9,"0%")</f>
        <v>0%</v>
      </c>
      <c r="Q592" s="9" t="str">
        <f>IF(F592="Kredit",EOMONTH(B592,0),"")</f>
        <v/>
      </c>
      <c r="R592" s="17" t="str">
        <f>TEXT(B592,"dddd")</f>
        <v>Sunday</v>
      </c>
    </row>
    <row r="593" spans="1:18">
      <c r="A593" s="5" t="s">
        <v>600</v>
      </c>
      <c r="B593" s="8">
        <v>46046</v>
      </c>
      <c r="C593" s="5" t="s">
        <v>975</v>
      </c>
      <c r="D593" s="5" t="s">
        <v>971</v>
      </c>
      <c r="E593" s="5" t="s">
        <v>964</v>
      </c>
      <c r="F593" s="5" t="s">
        <v>7</v>
      </c>
      <c r="G593" s="5">
        <v>10</v>
      </c>
      <c r="H593" s="5" t="s">
        <v>963</v>
      </c>
      <c r="I593" s="13">
        <v>779541182</v>
      </c>
      <c r="J593" s="10" t="s">
        <v>1576</v>
      </c>
      <c r="K593" t="str">
        <f>LEFT(C593,FIND(" ",C593)-1)&amp;"-"&amp;E593&amp;" "&amp;"Filialina çardırılma"</f>
        <v>Murad-Sumqayıt Filialina çardırılma</v>
      </c>
      <c r="L593">
        <f>VLOOKUP(D593,Anbar!$A$2:$B$5,2,FALSE)</f>
        <v>1200</v>
      </c>
      <c r="M593">
        <f>VLOOKUP(D593,Anbar!$A$2:$C$5,3,FALSE)</f>
        <v>1800</v>
      </c>
      <c r="N593">
        <f t="shared" si="18"/>
        <v>18000</v>
      </c>
      <c r="O593">
        <f t="shared" si="19"/>
        <v>6000</v>
      </c>
      <c r="P593" t="str">
        <f>IF(AND(F593="Nağd",G593&gt;5),M593*0.9,"0%")</f>
        <v>0%</v>
      </c>
      <c r="Q593" s="9" t="str">
        <f>IF(F593="Kredit",EOMONTH(B593,0),"")</f>
        <v/>
      </c>
      <c r="R593" s="17" t="str">
        <f>TEXT(B593,"dddd")</f>
        <v>Saturday</v>
      </c>
    </row>
    <row r="594" spans="1:18">
      <c r="A594" s="5" t="s">
        <v>601</v>
      </c>
      <c r="B594" s="8">
        <v>46092</v>
      </c>
      <c r="C594" s="5" t="s">
        <v>979</v>
      </c>
      <c r="D594" s="5" t="s">
        <v>15</v>
      </c>
      <c r="E594" s="5" t="s">
        <v>981</v>
      </c>
      <c r="F594" s="5" t="s">
        <v>965</v>
      </c>
      <c r="G594" s="5">
        <v>9</v>
      </c>
      <c r="H594" s="5" t="s">
        <v>963</v>
      </c>
      <c r="I594" s="13">
        <v>505416994</v>
      </c>
      <c r="J594" s="10" t="s">
        <v>1577</v>
      </c>
      <c r="K594" t="str">
        <f>LEFT(C594,FIND(" ",C594)-1)&amp;"-"&amp;E594&amp;" "&amp;"Filialina çardırılma"</f>
        <v>Leyla-Gəncə Filialina çardırılma</v>
      </c>
      <c r="L594">
        <f>VLOOKUP(D594,Anbar!$A$2:$B$5,2,FALSE)</f>
        <v>600</v>
      </c>
      <c r="M594">
        <f>VLOOKUP(D594,Anbar!$A$2:$C$5,3,FALSE)</f>
        <v>950</v>
      </c>
      <c r="N594">
        <f t="shared" si="18"/>
        <v>8550</v>
      </c>
      <c r="O594">
        <f t="shared" si="19"/>
        <v>3150</v>
      </c>
      <c r="P594">
        <f>IF(AND(F594="Nağd",G594&gt;5),M594*0.9,"0%")</f>
        <v>855</v>
      </c>
      <c r="Q594" s="9" t="str">
        <f>IF(F594="Kredit",EOMONTH(B594,0),"")</f>
        <v/>
      </c>
      <c r="R594" s="17" t="str">
        <f>TEXT(B594,"dddd")</f>
        <v>Wednesday</v>
      </c>
    </row>
    <row r="595" spans="1:18">
      <c r="A595" s="5" t="s">
        <v>602</v>
      </c>
      <c r="B595" s="8">
        <v>46129</v>
      </c>
      <c r="C595" s="5" t="s">
        <v>975</v>
      </c>
      <c r="D595" s="5" t="s">
        <v>15</v>
      </c>
      <c r="E595" s="5" t="s">
        <v>980</v>
      </c>
      <c r="F595" s="5" t="s">
        <v>7</v>
      </c>
      <c r="G595" s="5">
        <v>7</v>
      </c>
      <c r="H595" s="5" t="s">
        <v>963</v>
      </c>
      <c r="I595" s="13">
        <v>776485098</v>
      </c>
      <c r="J595" s="10" t="s">
        <v>1578</v>
      </c>
      <c r="K595" t="str">
        <f>LEFT(C595,FIND(" ",C595)-1)&amp;"-"&amp;E595&amp;" "&amp;"Filialina çardırılma"</f>
        <v>Murad-Sumqayit Filialina çardırılma</v>
      </c>
      <c r="L595">
        <f>VLOOKUP(D595,Anbar!$A$2:$B$5,2,FALSE)</f>
        <v>600</v>
      </c>
      <c r="M595">
        <f>VLOOKUP(D595,Anbar!$A$2:$C$5,3,FALSE)</f>
        <v>950</v>
      </c>
      <c r="N595">
        <f t="shared" si="18"/>
        <v>6650</v>
      </c>
      <c r="O595">
        <f t="shared" si="19"/>
        <v>2450</v>
      </c>
      <c r="P595" t="str">
        <f>IF(AND(F595="Nağd",G595&gt;5),M595*0.9,"0%")</f>
        <v>0%</v>
      </c>
      <c r="Q595" s="9" t="str">
        <f>IF(F595="Kredit",EOMONTH(B595,0),"")</f>
        <v/>
      </c>
      <c r="R595" s="17" t="str">
        <f>TEXT(B595,"dddd")</f>
        <v>Friday</v>
      </c>
    </row>
    <row r="596" spans="1:18">
      <c r="A596" s="5" t="s">
        <v>603</v>
      </c>
      <c r="B596" s="8">
        <v>46047</v>
      </c>
      <c r="C596" s="5" t="s">
        <v>977</v>
      </c>
      <c r="D596" s="5" t="s">
        <v>20</v>
      </c>
      <c r="E596" s="5" t="s">
        <v>983</v>
      </c>
      <c r="F596" s="5" t="s">
        <v>965</v>
      </c>
      <c r="G596" s="5">
        <v>7</v>
      </c>
      <c r="H596" s="5" t="s">
        <v>963</v>
      </c>
      <c r="I596" s="13">
        <v>708523297</v>
      </c>
      <c r="J596" s="10" t="s">
        <v>1579</v>
      </c>
      <c r="K596" t="str">
        <f>LEFT(C596,FIND(" ",C596)-1)&amp;"-"&amp;E596&amp;" "&amp;"Filialina çardırılma"</f>
        <v>Elnur-Naməlum Filialina çardırılma</v>
      </c>
      <c r="L596">
        <f>VLOOKUP(D596,Anbar!$A$2:$B$5,2,FALSE)</f>
        <v>15</v>
      </c>
      <c r="M596">
        <f>VLOOKUP(D596,Anbar!$A$2:$C$5,3,FALSE)</f>
        <v>45</v>
      </c>
      <c r="N596">
        <f t="shared" si="18"/>
        <v>315</v>
      </c>
      <c r="O596">
        <f t="shared" si="19"/>
        <v>210</v>
      </c>
      <c r="P596">
        <f>IF(AND(F596="Nağd",G596&gt;5),M596*0.9,"0%")</f>
        <v>40.5</v>
      </c>
      <c r="Q596" s="9" t="str">
        <f>IF(F596="Kredit",EOMONTH(B596,0),"")</f>
        <v/>
      </c>
      <c r="R596" s="17" t="str">
        <f>TEXT(B596,"dddd")</f>
        <v>Sunday</v>
      </c>
    </row>
    <row r="597" spans="1:18">
      <c r="A597" s="5" t="s">
        <v>604</v>
      </c>
      <c r="B597" s="8">
        <v>46093</v>
      </c>
      <c r="C597" s="5" t="s">
        <v>976</v>
      </c>
      <c r="D597" s="5" t="s">
        <v>20</v>
      </c>
      <c r="E597" s="5" t="s">
        <v>981</v>
      </c>
      <c r="F597" s="5" t="s">
        <v>965</v>
      </c>
      <c r="G597" s="5">
        <v>6</v>
      </c>
      <c r="H597" s="5" t="s">
        <v>963</v>
      </c>
      <c r="I597" s="13">
        <v>515726388</v>
      </c>
      <c r="J597" s="10" t="s">
        <v>1580</v>
      </c>
      <c r="K597" t="str">
        <f>LEFT(C597,FIND(" ",C597)-1)&amp;"-"&amp;E597&amp;" "&amp;"Filialina çardırılma"</f>
        <v>Nərgin-Gəncə Filialina çardırılma</v>
      </c>
      <c r="L597">
        <f>VLOOKUP(D597,Anbar!$A$2:$B$5,2,FALSE)</f>
        <v>15</v>
      </c>
      <c r="M597">
        <f>VLOOKUP(D597,Anbar!$A$2:$C$5,3,FALSE)</f>
        <v>45</v>
      </c>
      <c r="N597">
        <f t="shared" si="18"/>
        <v>270</v>
      </c>
      <c r="O597">
        <f t="shared" si="19"/>
        <v>180</v>
      </c>
      <c r="P597">
        <f>IF(AND(F597="Nağd",G597&gt;5),M597*0.9,"0%")</f>
        <v>40.5</v>
      </c>
      <c r="Q597" s="9" t="str">
        <f>IF(F597="Kredit",EOMONTH(B597,0),"")</f>
        <v/>
      </c>
      <c r="R597" s="17" t="str">
        <f>TEXT(B597,"dddd")</f>
        <v>Thursday</v>
      </c>
    </row>
    <row r="598" spans="1:18">
      <c r="A598" s="5" t="s">
        <v>605</v>
      </c>
      <c r="B598" s="8">
        <v>46066</v>
      </c>
      <c r="C598" s="5" t="s">
        <v>976</v>
      </c>
      <c r="D598" s="5" t="s">
        <v>20</v>
      </c>
      <c r="E598" s="5" t="s">
        <v>966</v>
      </c>
      <c r="F598" s="5" t="s">
        <v>4</v>
      </c>
      <c r="G598" s="5">
        <v>6</v>
      </c>
      <c r="H598" s="5" t="s">
        <v>963</v>
      </c>
      <c r="I598" s="13">
        <v>775087813</v>
      </c>
      <c r="J598" s="10" t="s">
        <v>1581</v>
      </c>
      <c r="K598" t="str">
        <f>LEFT(C598,FIND(" ",C598)-1)&amp;"-"&amp;E598&amp;" "&amp;"Filialina çardırılma"</f>
        <v>Nərgin-Bakı Filialina çardırılma</v>
      </c>
      <c r="L598">
        <f>VLOOKUP(D598,Anbar!$A$2:$B$5,2,FALSE)</f>
        <v>15</v>
      </c>
      <c r="M598">
        <f>VLOOKUP(D598,Anbar!$A$2:$C$5,3,FALSE)</f>
        <v>45</v>
      </c>
      <c r="N598">
        <f t="shared" si="18"/>
        <v>270</v>
      </c>
      <c r="O598">
        <f t="shared" si="19"/>
        <v>180</v>
      </c>
      <c r="P598" t="str">
        <f>IF(AND(F598="Nağd",G598&gt;5),M598*0.9,"0%")</f>
        <v>0%</v>
      </c>
      <c r="Q598" s="9">
        <f>IF(F598="Kredit",EOMONTH(B598,0),"")</f>
        <v>46081</v>
      </c>
      <c r="R598" s="17" t="str">
        <f>TEXT(B598,"dddd")</f>
        <v>Friday</v>
      </c>
    </row>
    <row r="599" spans="1:18">
      <c r="A599" s="5" t="s">
        <v>606</v>
      </c>
      <c r="B599" s="8">
        <v>46083</v>
      </c>
      <c r="C599" s="5" t="s">
        <v>977</v>
      </c>
      <c r="D599" s="5" t="s">
        <v>971</v>
      </c>
      <c r="E599" s="5" t="s">
        <v>964</v>
      </c>
      <c r="F599" s="5" t="s">
        <v>965</v>
      </c>
      <c r="G599" s="5">
        <v>5</v>
      </c>
      <c r="H599" s="5" t="s">
        <v>963</v>
      </c>
      <c r="I599" s="13">
        <v>506678713</v>
      </c>
      <c r="J599" s="10" t="s">
        <v>1582</v>
      </c>
      <c r="K599" t="str">
        <f>LEFT(C599,FIND(" ",C599)-1)&amp;"-"&amp;E599&amp;" "&amp;"Filialina çardırılma"</f>
        <v>Elnur-Sumqayıt Filialina çardırılma</v>
      </c>
      <c r="L599">
        <f>VLOOKUP(D599,Anbar!$A$2:$B$5,2,FALSE)</f>
        <v>1200</v>
      </c>
      <c r="M599">
        <f>VLOOKUP(D599,Anbar!$A$2:$C$5,3,FALSE)</f>
        <v>1800</v>
      </c>
      <c r="N599">
        <f t="shared" si="18"/>
        <v>9000</v>
      </c>
      <c r="O599">
        <f t="shared" si="19"/>
        <v>3000</v>
      </c>
      <c r="P599" t="str">
        <f>IF(AND(F599="Nağd",G599&gt;5),M599*0.9,"0%")</f>
        <v>0%</v>
      </c>
      <c r="Q599" s="9" t="str">
        <f>IF(F599="Kredit",EOMONTH(B599,0),"")</f>
        <v/>
      </c>
      <c r="R599" s="17" t="str">
        <f>TEXT(B599,"dddd")</f>
        <v>Monday</v>
      </c>
    </row>
    <row r="600" spans="1:18">
      <c r="A600" s="5" t="s">
        <v>607</v>
      </c>
      <c r="B600" s="8">
        <v>46125</v>
      </c>
      <c r="C600" s="5" t="s">
        <v>978</v>
      </c>
      <c r="D600" s="5" t="s">
        <v>971</v>
      </c>
      <c r="E600" s="5" t="s">
        <v>980</v>
      </c>
      <c r="F600" s="5" t="s">
        <v>7</v>
      </c>
      <c r="G600" s="5">
        <v>7</v>
      </c>
      <c r="H600" s="5" t="s">
        <v>963</v>
      </c>
      <c r="I600" s="13">
        <v>556277617</v>
      </c>
      <c r="J600" s="10" t="s">
        <v>1583</v>
      </c>
      <c r="K600" t="str">
        <f>LEFT(C600,FIND(" ",C600)-1)&amp;"-"&amp;E600&amp;" "&amp;"Filialina çardırılma"</f>
        <v>Əli-Sumqayit Filialina çardırılma</v>
      </c>
      <c r="L600">
        <f>VLOOKUP(D600,Anbar!$A$2:$B$5,2,FALSE)</f>
        <v>1200</v>
      </c>
      <c r="M600">
        <f>VLOOKUP(D600,Anbar!$A$2:$C$5,3,FALSE)</f>
        <v>1800</v>
      </c>
      <c r="N600">
        <f t="shared" si="18"/>
        <v>12600</v>
      </c>
      <c r="O600">
        <f t="shared" si="19"/>
        <v>4200</v>
      </c>
      <c r="P600" t="str">
        <f>IF(AND(F600="Nağd",G600&gt;5),M600*0.9,"0%")</f>
        <v>0%</v>
      </c>
      <c r="Q600" s="9" t="str">
        <f>IF(F600="Kredit",EOMONTH(B600,0),"")</f>
        <v/>
      </c>
      <c r="R600" s="17" t="str">
        <f>TEXT(B600,"dddd")</f>
        <v>Monday</v>
      </c>
    </row>
    <row r="601" spans="1:18">
      <c r="A601" s="5" t="s">
        <v>608</v>
      </c>
      <c r="B601" s="8">
        <v>46032</v>
      </c>
      <c r="C601" s="5" t="s">
        <v>979</v>
      </c>
      <c r="D601" s="5" t="s">
        <v>971</v>
      </c>
      <c r="E601" s="5" t="s">
        <v>981</v>
      </c>
      <c r="F601" s="5" t="s">
        <v>983</v>
      </c>
      <c r="G601" s="5">
        <v>10</v>
      </c>
      <c r="H601" s="5" t="s">
        <v>963</v>
      </c>
      <c r="I601" s="13">
        <v>779027417</v>
      </c>
      <c r="J601" s="10" t="s">
        <v>1584</v>
      </c>
      <c r="K601" t="str">
        <f>LEFT(C601,FIND(" ",C601)-1)&amp;"-"&amp;E601&amp;" "&amp;"Filialina çardırılma"</f>
        <v>Leyla-Gəncə Filialina çardırılma</v>
      </c>
      <c r="L601">
        <f>VLOOKUP(D601,Anbar!$A$2:$B$5,2,FALSE)</f>
        <v>1200</v>
      </c>
      <c r="M601">
        <f>VLOOKUP(D601,Anbar!$A$2:$C$5,3,FALSE)</f>
        <v>1800</v>
      </c>
      <c r="N601">
        <f t="shared" si="18"/>
        <v>18000</v>
      </c>
      <c r="O601">
        <f t="shared" si="19"/>
        <v>6000</v>
      </c>
      <c r="P601" t="str">
        <f>IF(AND(F601="Nağd",G601&gt;5),M601*0.9,"0%")</f>
        <v>0%</v>
      </c>
      <c r="Q601" s="9" t="str">
        <f>IF(F601="Kredit",EOMONTH(B601,0),"")</f>
        <v/>
      </c>
      <c r="R601" s="17" t="str">
        <f>TEXT(B601,"dddd")</f>
        <v>Saturday</v>
      </c>
    </row>
    <row r="602" spans="1:18">
      <c r="A602" s="5" t="s">
        <v>609</v>
      </c>
      <c r="B602" s="8">
        <v>46100</v>
      </c>
      <c r="C602" s="5" t="s">
        <v>6</v>
      </c>
      <c r="D602" s="5" t="s">
        <v>971</v>
      </c>
      <c r="E602" s="5" t="s">
        <v>982</v>
      </c>
      <c r="F602" s="5" t="s">
        <v>965</v>
      </c>
      <c r="G602" s="5">
        <v>9</v>
      </c>
      <c r="H602" s="5" t="s">
        <v>963</v>
      </c>
      <c r="I602" s="13">
        <v>551113504</v>
      </c>
      <c r="J602" s="10" t="s">
        <v>1585</v>
      </c>
      <c r="K602" t="str">
        <f>LEFT(C602,FIND(" ",C602)-1)&amp;"-"&amp;E602&amp;" "&amp;"Filialina çardırılma"</f>
        <v>Zaur-Baki Filialina çardırılma</v>
      </c>
      <c r="L602">
        <f>VLOOKUP(D602,Anbar!$A$2:$B$5,2,FALSE)</f>
        <v>1200</v>
      </c>
      <c r="M602">
        <f>VLOOKUP(D602,Anbar!$A$2:$C$5,3,FALSE)</f>
        <v>1800</v>
      </c>
      <c r="N602">
        <f t="shared" si="18"/>
        <v>16200</v>
      </c>
      <c r="O602">
        <f t="shared" si="19"/>
        <v>5400</v>
      </c>
      <c r="P602">
        <f>IF(AND(F602="Nağd",G602&gt;5),M602*0.9,"0%")</f>
        <v>1620</v>
      </c>
      <c r="Q602" s="9" t="str">
        <f>IF(F602="Kredit",EOMONTH(B602,0),"")</f>
        <v/>
      </c>
      <c r="R602" s="17" t="str">
        <f>TEXT(B602,"dddd")</f>
        <v>Thursday</v>
      </c>
    </row>
    <row r="603" spans="1:18">
      <c r="A603" s="5" t="s">
        <v>610</v>
      </c>
      <c r="B603" s="8">
        <v>46105</v>
      </c>
      <c r="C603" s="5" t="s">
        <v>967</v>
      </c>
      <c r="D603" s="5" t="s">
        <v>15</v>
      </c>
      <c r="E603" s="5" t="s">
        <v>964</v>
      </c>
      <c r="F603" s="5" t="s">
        <v>4</v>
      </c>
      <c r="G603" s="5">
        <v>4</v>
      </c>
      <c r="H603" s="5" t="s">
        <v>963</v>
      </c>
      <c r="I603" s="13">
        <v>702616785</v>
      </c>
      <c r="J603" s="10" t="s">
        <v>1586</v>
      </c>
      <c r="K603" t="str">
        <f>LEFT(C603,FIND(" ",C603)-1)&amp;"-"&amp;E603&amp;" "&amp;"Filialina çardırılma"</f>
        <v>Aysel-Sumqayıt Filialina çardırılma</v>
      </c>
      <c r="L603">
        <f>VLOOKUP(D603,Anbar!$A$2:$B$5,2,FALSE)</f>
        <v>600</v>
      </c>
      <c r="M603">
        <f>VLOOKUP(D603,Anbar!$A$2:$C$5,3,FALSE)</f>
        <v>950</v>
      </c>
      <c r="N603">
        <f t="shared" si="18"/>
        <v>3800</v>
      </c>
      <c r="O603">
        <f t="shared" si="19"/>
        <v>1400</v>
      </c>
      <c r="P603" t="str">
        <f>IF(AND(F603="Nağd",G603&gt;5),M603*0.9,"0%")</f>
        <v>0%</v>
      </c>
      <c r="Q603" s="9">
        <f>IF(F603="Kredit",EOMONTH(B603,0),"")</f>
        <v>46112</v>
      </c>
      <c r="R603" s="17" t="str">
        <f>TEXT(B603,"dddd")</f>
        <v>Tuesday</v>
      </c>
    </row>
    <row r="604" spans="1:18">
      <c r="A604" s="5" t="s">
        <v>611</v>
      </c>
      <c r="B604" s="8">
        <v>46132</v>
      </c>
      <c r="C604" s="5" t="s">
        <v>967</v>
      </c>
      <c r="D604" s="5" t="s">
        <v>15</v>
      </c>
      <c r="E604" s="5" t="s">
        <v>966</v>
      </c>
      <c r="F604" s="5" t="s">
        <v>965</v>
      </c>
      <c r="G604" s="5">
        <v>4</v>
      </c>
      <c r="H604" s="5" t="s">
        <v>963</v>
      </c>
      <c r="I604" s="13">
        <v>707886705</v>
      </c>
      <c r="J604" s="10" t="s">
        <v>1587</v>
      </c>
      <c r="K604" t="str">
        <f>LEFT(C604,FIND(" ",C604)-1)&amp;"-"&amp;E604&amp;" "&amp;"Filialina çardırılma"</f>
        <v>Aysel-Bakı Filialina çardırılma</v>
      </c>
      <c r="L604">
        <f>VLOOKUP(D604,Anbar!$A$2:$B$5,2,FALSE)</f>
        <v>600</v>
      </c>
      <c r="M604">
        <f>VLOOKUP(D604,Anbar!$A$2:$C$5,3,FALSE)</f>
        <v>950</v>
      </c>
      <c r="N604">
        <f t="shared" si="18"/>
        <v>3800</v>
      </c>
      <c r="O604">
        <f t="shared" si="19"/>
        <v>1400</v>
      </c>
      <c r="P604" t="str">
        <f>IF(AND(F604="Nağd",G604&gt;5),M604*0.9,"0%")</f>
        <v>0%</v>
      </c>
      <c r="Q604" s="9" t="str">
        <f>IF(F604="Kredit",EOMONTH(B604,0),"")</f>
        <v/>
      </c>
      <c r="R604" s="17" t="str">
        <f>TEXT(B604,"dddd")</f>
        <v>Monday</v>
      </c>
    </row>
    <row r="605" spans="1:18">
      <c r="A605" s="5" t="s">
        <v>612</v>
      </c>
      <c r="B605" s="8">
        <v>46073</v>
      </c>
      <c r="C605" s="5" t="s">
        <v>967</v>
      </c>
      <c r="D605" s="5" t="s">
        <v>20</v>
      </c>
      <c r="E605" s="5" t="s">
        <v>9</v>
      </c>
      <c r="F605" s="5" t="s">
        <v>4</v>
      </c>
      <c r="G605" s="5">
        <v>10</v>
      </c>
      <c r="H605" s="5" t="s">
        <v>963</v>
      </c>
      <c r="I605" s="13">
        <v>511149019</v>
      </c>
      <c r="J605" s="10" t="s">
        <v>1588</v>
      </c>
      <c r="K605" t="str">
        <f>LEFT(C605,FIND(" ",C605)-1)&amp;"-"&amp;E605&amp;" "&amp;"Filialina çardırılma"</f>
        <v>Aysel-Gence Filialina çardırılma</v>
      </c>
      <c r="L605">
        <f>VLOOKUP(D605,Anbar!$A$2:$B$5,2,FALSE)</f>
        <v>15</v>
      </c>
      <c r="M605">
        <f>VLOOKUP(D605,Anbar!$A$2:$C$5,3,FALSE)</f>
        <v>45</v>
      </c>
      <c r="N605">
        <f t="shared" si="18"/>
        <v>450</v>
      </c>
      <c r="O605">
        <f t="shared" si="19"/>
        <v>300</v>
      </c>
      <c r="P605" t="str">
        <f>IF(AND(F605="Nağd",G605&gt;5),M605*0.9,"0%")</f>
        <v>0%</v>
      </c>
      <c r="Q605" s="9">
        <f>IF(F605="Kredit",EOMONTH(B605,0),"")</f>
        <v>46081</v>
      </c>
      <c r="R605" s="17" t="str">
        <f>TEXT(B605,"dddd")</f>
        <v>Friday</v>
      </c>
    </row>
    <row r="606" spans="1:18">
      <c r="A606" s="5" t="s">
        <v>613</v>
      </c>
      <c r="B606" s="8">
        <v>46040</v>
      </c>
      <c r="C606" s="5" t="s">
        <v>979</v>
      </c>
      <c r="D606" s="5" t="s">
        <v>15</v>
      </c>
      <c r="E606" s="5" t="s">
        <v>982</v>
      </c>
      <c r="F606" s="5" t="s">
        <v>965</v>
      </c>
      <c r="G606" s="5">
        <v>2</v>
      </c>
      <c r="H606" s="5" t="s">
        <v>963</v>
      </c>
      <c r="I606" s="13">
        <v>779698548</v>
      </c>
      <c r="J606" s="10" t="s">
        <v>1589</v>
      </c>
      <c r="K606" t="str">
        <f>LEFT(C606,FIND(" ",C606)-1)&amp;"-"&amp;E606&amp;" "&amp;"Filialina çardırılma"</f>
        <v>Leyla-Baki Filialina çardırılma</v>
      </c>
      <c r="L606">
        <f>VLOOKUP(D606,Anbar!$A$2:$B$5,2,FALSE)</f>
        <v>600</v>
      </c>
      <c r="M606">
        <f>VLOOKUP(D606,Anbar!$A$2:$C$5,3,FALSE)</f>
        <v>950</v>
      </c>
      <c r="N606">
        <f t="shared" si="18"/>
        <v>1900</v>
      </c>
      <c r="O606">
        <f t="shared" si="19"/>
        <v>700</v>
      </c>
      <c r="P606" t="str">
        <f>IF(AND(F606="Nağd",G606&gt;5),M606*0.9,"0%")</f>
        <v>0%</v>
      </c>
      <c r="Q606" s="9" t="str">
        <f>IF(F606="Kredit",EOMONTH(B606,0),"")</f>
        <v/>
      </c>
      <c r="R606" s="17" t="str">
        <f>TEXT(B606,"dddd")</f>
        <v>Sunday</v>
      </c>
    </row>
    <row r="607" spans="1:18">
      <c r="A607" s="5" t="s">
        <v>614</v>
      </c>
      <c r="B607" s="8">
        <v>46131</v>
      </c>
      <c r="C607" s="5" t="s">
        <v>967</v>
      </c>
      <c r="D607" s="5" t="s">
        <v>20</v>
      </c>
      <c r="E607" s="5" t="s">
        <v>980</v>
      </c>
      <c r="F607" s="5" t="s">
        <v>4</v>
      </c>
      <c r="G607" s="5">
        <v>7</v>
      </c>
      <c r="H607" s="5" t="s">
        <v>963</v>
      </c>
      <c r="I607" s="13">
        <v>518487776</v>
      </c>
      <c r="J607" s="10" t="s">
        <v>1590</v>
      </c>
      <c r="K607" t="str">
        <f>LEFT(C607,FIND(" ",C607)-1)&amp;"-"&amp;E607&amp;" "&amp;"Filialina çardırılma"</f>
        <v>Aysel-Sumqayit Filialina çardırılma</v>
      </c>
      <c r="L607">
        <f>VLOOKUP(D607,Anbar!$A$2:$B$5,2,FALSE)</f>
        <v>15</v>
      </c>
      <c r="M607">
        <f>VLOOKUP(D607,Anbar!$A$2:$C$5,3,FALSE)</f>
        <v>45</v>
      </c>
      <c r="N607">
        <f t="shared" si="18"/>
        <v>315</v>
      </c>
      <c r="O607">
        <f t="shared" si="19"/>
        <v>210</v>
      </c>
      <c r="P607" t="str">
        <f>IF(AND(F607="Nağd",G607&gt;5),M607*0.9,"0%")</f>
        <v>0%</v>
      </c>
      <c r="Q607" s="9">
        <f>IF(F607="Kredit",EOMONTH(B607,0),"")</f>
        <v>46142</v>
      </c>
      <c r="R607" s="17" t="str">
        <f>TEXT(B607,"dddd")</f>
        <v>Sunday</v>
      </c>
    </row>
    <row r="608" spans="1:18">
      <c r="A608" s="5" t="s">
        <v>615</v>
      </c>
      <c r="B608" s="8">
        <v>46063</v>
      </c>
      <c r="C608" s="5" t="s">
        <v>6</v>
      </c>
      <c r="D608" s="5" t="s">
        <v>20</v>
      </c>
      <c r="E608" s="5" t="s">
        <v>981</v>
      </c>
      <c r="F608" s="5" t="s">
        <v>7</v>
      </c>
      <c r="G608" s="5">
        <v>3</v>
      </c>
      <c r="H608" s="5" t="s">
        <v>963</v>
      </c>
      <c r="I608" s="13">
        <v>513957706</v>
      </c>
      <c r="J608" s="10" t="s">
        <v>1591</v>
      </c>
      <c r="K608" t="str">
        <f>LEFT(C608,FIND(" ",C608)-1)&amp;"-"&amp;E608&amp;" "&amp;"Filialina çardırılma"</f>
        <v>Zaur-Gəncə Filialina çardırılma</v>
      </c>
      <c r="L608">
        <f>VLOOKUP(D608,Anbar!$A$2:$B$5,2,FALSE)</f>
        <v>15</v>
      </c>
      <c r="M608">
        <f>VLOOKUP(D608,Anbar!$A$2:$C$5,3,FALSE)</f>
        <v>45</v>
      </c>
      <c r="N608">
        <f t="shared" si="18"/>
        <v>135</v>
      </c>
      <c r="O608">
        <f t="shared" si="19"/>
        <v>90</v>
      </c>
      <c r="P608" t="str">
        <f>IF(AND(F608="Nağd",G608&gt;5),M608*0.9,"0%")</f>
        <v>0%</v>
      </c>
      <c r="Q608" s="9" t="str">
        <f>IF(F608="Kredit",EOMONTH(B608,0),"")</f>
        <v/>
      </c>
      <c r="R608" s="17" t="str">
        <f>TEXT(B608,"dddd")</f>
        <v>Tuesday</v>
      </c>
    </row>
    <row r="609" spans="1:18">
      <c r="A609" s="5" t="s">
        <v>616</v>
      </c>
      <c r="B609" s="8">
        <v>46047</v>
      </c>
      <c r="C609" s="5" t="s">
        <v>977</v>
      </c>
      <c r="D609" s="5" t="s">
        <v>15</v>
      </c>
      <c r="E609" s="5" t="s">
        <v>966</v>
      </c>
      <c r="F609" s="5" t="s">
        <v>4</v>
      </c>
      <c r="G609" s="5">
        <v>7</v>
      </c>
      <c r="H609" s="5" t="s">
        <v>963</v>
      </c>
      <c r="I609" s="13">
        <v>701463535</v>
      </c>
      <c r="J609" s="10" t="s">
        <v>1592</v>
      </c>
      <c r="K609" t="str">
        <f>LEFT(C609,FIND(" ",C609)-1)&amp;"-"&amp;E609&amp;" "&amp;"Filialina çardırılma"</f>
        <v>Elnur-Bakı Filialina çardırılma</v>
      </c>
      <c r="L609">
        <f>VLOOKUP(D609,Anbar!$A$2:$B$5,2,FALSE)</f>
        <v>600</v>
      </c>
      <c r="M609">
        <f>VLOOKUP(D609,Anbar!$A$2:$C$5,3,FALSE)</f>
        <v>950</v>
      </c>
      <c r="N609">
        <f t="shared" si="18"/>
        <v>6650</v>
      </c>
      <c r="O609">
        <f t="shared" si="19"/>
        <v>2450</v>
      </c>
      <c r="P609" t="str">
        <f>IF(AND(F609="Nağd",G609&gt;5),M609*0.9,"0%")</f>
        <v>0%</v>
      </c>
      <c r="Q609" s="9">
        <f>IF(F609="Kredit",EOMONTH(B609,0),"")</f>
        <v>46053</v>
      </c>
      <c r="R609" s="17" t="str">
        <f>TEXT(B609,"dddd")</f>
        <v>Sunday</v>
      </c>
    </row>
    <row r="610" spans="1:18">
      <c r="A610" s="5" t="s">
        <v>617</v>
      </c>
      <c r="B610" s="8">
        <v>46048</v>
      </c>
      <c r="C610" s="5" t="s">
        <v>6</v>
      </c>
      <c r="D610" s="5" t="s">
        <v>971</v>
      </c>
      <c r="E610" s="5" t="s">
        <v>966</v>
      </c>
      <c r="F610" s="5" t="s">
        <v>4</v>
      </c>
      <c r="G610" s="5">
        <v>2</v>
      </c>
      <c r="H610" s="5" t="s">
        <v>963</v>
      </c>
      <c r="I610" s="13">
        <v>776607462</v>
      </c>
      <c r="J610" s="10" t="s">
        <v>1593</v>
      </c>
      <c r="K610" t="str">
        <f>LEFT(C610,FIND(" ",C610)-1)&amp;"-"&amp;E610&amp;" "&amp;"Filialina çardırılma"</f>
        <v>Zaur-Bakı Filialina çardırılma</v>
      </c>
      <c r="L610">
        <f>VLOOKUP(D610,Anbar!$A$2:$B$5,2,FALSE)</f>
        <v>1200</v>
      </c>
      <c r="M610">
        <f>VLOOKUP(D610,Anbar!$A$2:$C$5,3,FALSE)</f>
        <v>1800</v>
      </c>
      <c r="N610">
        <f t="shared" si="18"/>
        <v>3600</v>
      </c>
      <c r="O610">
        <f t="shared" si="19"/>
        <v>1200</v>
      </c>
      <c r="P610" t="str">
        <f>IF(AND(F610="Nağd",G610&gt;5),M610*0.9,"0%")</f>
        <v>0%</v>
      </c>
      <c r="Q610" s="9">
        <f>IF(F610="Kredit",EOMONTH(B610,0),"")</f>
        <v>46053</v>
      </c>
      <c r="R610" s="17" t="str">
        <f>TEXT(B610,"dddd")</f>
        <v>Monday</v>
      </c>
    </row>
    <row r="611" spans="1:18">
      <c r="A611" s="5" t="s">
        <v>618</v>
      </c>
      <c r="B611" s="8">
        <v>46058</v>
      </c>
      <c r="C611" s="5" t="s">
        <v>974</v>
      </c>
      <c r="D611" s="5" t="s">
        <v>971</v>
      </c>
      <c r="E611" s="5" t="s">
        <v>981</v>
      </c>
      <c r="F611" s="5" t="s">
        <v>965</v>
      </c>
      <c r="G611" s="5">
        <v>7</v>
      </c>
      <c r="H611" s="5" t="s">
        <v>963</v>
      </c>
      <c r="I611" s="13">
        <v>779860327</v>
      </c>
      <c r="J611" s="10" t="s">
        <v>1594</v>
      </c>
      <c r="K611" t="str">
        <f>LEFT(C611,FIND(" ",C611)-1)&amp;"-"&amp;E611&amp;" "&amp;"Filialina çardırılma"</f>
        <v>Ramil-Gəncə Filialina çardırılma</v>
      </c>
      <c r="L611">
        <f>VLOOKUP(D611,Anbar!$A$2:$B$5,2,FALSE)</f>
        <v>1200</v>
      </c>
      <c r="M611">
        <f>VLOOKUP(D611,Anbar!$A$2:$C$5,3,FALSE)</f>
        <v>1800</v>
      </c>
      <c r="N611">
        <f t="shared" si="18"/>
        <v>12600</v>
      </c>
      <c r="O611">
        <f t="shared" si="19"/>
        <v>4200</v>
      </c>
      <c r="P611">
        <f>IF(AND(F611="Nağd",G611&gt;5),M611*0.9,"0%")</f>
        <v>1620</v>
      </c>
      <c r="Q611" s="9" t="str">
        <f>IF(F611="Kredit",EOMONTH(B611,0),"")</f>
        <v/>
      </c>
      <c r="R611" s="17" t="str">
        <f>TEXT(B611,"dddd")</f>
        <v>Thursday</v>
      </c>
    </row>
    <row r="612" spans="1:18">
      <c r="A612" s="5" t="s">
        <v>619</v>
      </c>
      <c r="B612" s="8">
        <v>46116</v>
      </c>
      <c r="C612" s="5" t="s">
        <v>6</v>
      </c>
      <c r="D612" s="5" t="s">
        <v>20</v>
      </c>
      <c r="E612" s="5" t="s">
        <v>982</v>
      </c>
      <c r="F612" s="5" t="s">
        <v>4</v>
      </c>
      <c r="G612" s="5">
        <v>7</v>
      </c>
      <c r="H612" s="5" t="s">
        <v>963</v>
      </c>
      <c r="I612" s="13">
        <v>701650086</v>
      </c>
      <c r="J612" s="10" t="s">
        <v>1595</v>
      </c>
      <c r="K612" t="str">
        <f>LEFT(C612,FIND(" ",C612)-1)&amp;"-"&amp;E612&amp;" "&amp;"Filialina çardırılma"</f>
        <v>Zaur-Baki Filialina çardırılma</v>
      </c>
      <c r="L612">
        <f>VLOOKUP(D612,Anbar!$A$2:$B$5,2,FALSE)</f>
        <v>15</v>
      </c>
      <c r="M612">
        <f>VLOOKUP(D612,Anbar!$A$2:$C$5,3,FALSE)</f>
        <v>45</v>
      </c>
      <c r="N612">
        <f t="shared" si="18"/>
        <v>315</v>
      </c>
      <c r="O612">
        <f t="shared" si="19"/>
        <v>210</v>
      </c>
      <c r="P612" t="str">
        <f>IF(AND(F612="Nağd",G612&gt;5),M612*0.9,"0%")</f>
        <v>0%</v>
      </c>
      <c r="Q612" s="9">
        <f>IF(F612="Kredit",EOMONTH(B612,0),"")</f>
        <v>46142</v>
      </c>
      <c r="R612" s="17" t="str">
        <f>TEXT(B612,"dddd")</f>
        <v>Saturday</v>
      </c>
    </row>
    <row r="613" spans="1:18">
      <c r="A613" s="5" t="s">
        <v>620</v>
      </c>
      <c r="B613" s="8">
        <v>46085</v>
      </c>
      <c r="C613" s="5" t="s">
        <v>979</v>
      </c>
      <c r="D613" s="5" t="s">
        <v>971</v>
      </c>
      <c r="E613" s="5" t="s">
        <v>966</v>
      </c>
      <c r="F613" s="5" t="s">
        <v>7</v>
      </c>
      <c r="G613" s="5">
        <v>2</v>
      </c>
      <c r="H613" s="5" t="s">
        <v>963</v>
      </c>
      <c r="I613" s="13">
        <v>707890093</v>
      </c>
      <c r="J613" s="10" t="s">
        <v>1596</v>
      </c>
      <c r="K613" t="str">
        <f>LEFT(C613,FIND(" ",C613)-1)&amp;"-"&amp;E613&amp;" "&amp;"Filialina çardırılma"</f>
        <v>Leyla-Bakı Filialina çardırılma</v>
      </c>
      <c r="L613">
        <f>VLOOKUP(D613,Anbar!$A$2:$B$5,2,FALSE)</f>
        <v>1200</v>
      </c>
      <c r="M613">
        <f>VLOOKUP(D613,Anbar!$A$2:$C$5,3,FALSE)</f>
        <v>1800</v>
      </c>
      <c r="N613">
        <f t="shared" si="18"/>
        <v>3600</v>
      </c>
      <c r="O613">
        <f t="shared" si="19"/>
        <v>1200</v>
      </c>
      <c r="P613" t="str">
        <f>IF(AND(F613="Nağd",G613&gt;5),M613*0.9,"0%")</f>
        <v>0%</v>
      </c>
      <c r="Q613" s="9" t="str">
        <f>IF(F613="Kredit",EOMONTH(B613,0),"")</f>
        <v/>
      </c>
      <c r="R613" s="17" t="str">
        <f>TEXT(B613,"dddd")</f>
        <v>Wednesday</v>
      </c>
    </row>
    <row r="614" spans="1:18">
      <c r="A614" s="5" t="s">
        <v>621</v>
      </c>
      <c r="B614" s="8">
        <v>46077</v>
      </c>
      <c r="C614" s="5" t="s">
        <v>974</v>
      </c>
      <c r="D614" s="5" t="s">
        <v>15</v>
      </c>
      <c r="E614" s="5" t="s">
        <v>966</v>
      </c>
      <c r="F614" s="5" t="s">
        <v>965</v>
      </c>
      <c r="G614" s="5">
        <v>6</v>
      </c>
      <c r="H614" s="5" t="s">
        <v>963</v>
      </c>
      <c r="I614" s="13">
        <v>515326801</v>
      </c>
      <c r="J614" s="10" t="s">
        <v>1597</v>
      </c>
      <c r="K614" t="str">
        <f>LEFT(C614,FIND(" ",C614)-1)&amp;"-"&amp;E614&amp;" "&amp;"Filialina çardırılma"</f>
        <v>Ramil-Bakı Filialina çardırılma</v>
      </c>
      <c r="L614">
        <f>VLOOKUP(D614,Anbar!$A$2:$B$5,2,FALSE)</f>
        <v>600</v>
      </c>
      <c r="M614">
        <f>VLOOKUP(D614,Anbar!$A$2:$C$5,3,FALSE)</f>
        <v>950</v>
      </c>
      <c r="N614">
        <f t="shared" si="18"/>
        <v>5700</v>
      </c>
      <c r="O614">
        <f t="shared" si="19"/>
        <v>2100</v>
      </c>
      <c r="P614">
        <f>IF(AND(F614="Nağd",G614&gt;5),M614*0.9,"0%")</f>
        <v>855</v>
      </c>
      <c r="Q614" s="9" t="str">
        <f>IF(F614="Kredit",EOMONTH(B614,0),"")</f>
        <v/>
      </c>
      <c r="R614" s="17" t="str">
        <f>TEXT(B614,"dddd")</f>
        <v>Tuesday</v>
      </c>
    </row>
    <row r="615" spans="1:18">
      <c r="A615" s="5" t="s">
        <v>622</v>
      </c>
      <c r="B615" s="8">
        <v>46116</v>
      </c>
      <c r="C615" s="5" t="s">
        <v>977</v>
      </c>
      <c r="D615" s="5" t="s">
        <v>20</v>
      </c>
      <c r="E615" s="5" t="s">
        <v>980</v>
      </c>
      <c r="F615" s="5" t="s">
        <v>7</v>
      </c>
      <c r="G615" s="5">
        <v>7</v>
      </c>
      <c r="H615" s="5" t="s">
        <v>963</v>
      </c>
      <c r="I615" s="13">
        <v>515680219</v>
      </c>
      <c r="J615" s="10" t="s">
        <v>1598</v>
      </c>
      <c r="K615" t="str">
        <f>LEFT(C615,FIND(" ",C615)-1)&amp;"-"&amp;E615&amp;" "&amp;"Filialina çardırılma"</f>
        <v>Elnur-Sumqayit Filialina çardırılma</v>
      </c>
      <c r="L615">
        <f>VLOOKUP(D615,Anbar!$A$2:$B$5,2,FALSE)</f>
        <v>15</v>
      </c>
      <c r="M615">
        <f>VLOOKUP(D615,Anbar!$A$2:$C$5,3,FALSE)</f>
        <v>45</v>
      </c>
      <c r="N615">
        <f t="shared" si="18"/>
        <v>315</v>
      </c>
      <c r="O615">
        <f t="shared" si="19"/>
        <v>210</v>
      </c>
      <c r="P615" t="str">
        <f>IF(AND(F615="Nağd",G615&gt;5),M615*0.9,"0%")</f>
        <v>0%</v>
      </c>
      <c r="Q615" s="9" t="str">
        <f>IF(F615="Kredit",EOMONTH(B615,0),"")</f>
        <v/>
      </c>
      <c r="R615" s="17" t="str">
        <f>TEXT(B615,"dddd")</f>
        <v>Saturday</v>
      </c>
    </row>
    <row r="616" spans="1:18">
      <c r="A616" s="5" t="s">
        <v>623</v>
      </c>
      <c r="B616" s="8">
        <v>46168</v>
      </c>
      <c r="C616" s="5" t="s">
        <v>6</v>
      </c>
      <c r="D616" s="5" t="s">
        <v>968</v>
      </c>
      <c r="E616" s="5" t="s">
        <v>964</v>
      </c>
      <c r="F616" s="5" t="s">
        <v>965</v>
      </c>
      <c r="G616" s="5">
        <v>8</v>
      </c>
      <c r="H616" s="5" t="s">
        <v>963</v>
      </c>
      <c r="I616" s="13">
        <v>772221477</v>
      </c>
      <c r="J616" s="10" t="s">
        <v>1599</v>
      </c>
      <c r="K616" t="str">
        <f>LEFT(C616,FIND(" ",C616)-1)&amp;"-"&amp;E616&amp;" "&amp;"Filialina çardırılma"</f>
        <v>Zaur-Sumqayıt Filialina çardırılma</v>
      </c>
      <c r="L616">
        <f>VLOOKUP(D616,Anbar!$A$2:$B$5,2,FALSE)</f>
        <v>400</v>
      </c>
      <c r="M616">
        <f>VLOOKUP(D616,Anbar!$A$2:$C$5,3,FALSE)</f>
        <v>650</v>
      </c>
      <c r="N616">
        <f t="shared" si="18"/>
        <v>5200</v>
      </c>
      <c r="O616">
        <f t="shared" si="19"/>
        <v>2000</v>
      </c>
      <c r="P616">
        <f>IF(AND(F616="Nağd",G616&gt;5),M616*0.9,"0%")</f>
        <v>585</v>
      </c>
      <c r="Q616" s="9" t="str">
        <f>IF(F616="Kredit",EOMONTH(B616,0),"")</f>
        <v/>
      </c>
      <c r="R616" s="17" t="str">
        <f>TEXT(B616,"dddd")</f>
        <v>Tuesday</v>
      </c>
    </row>
    <row r="617" spans="1:18">
      <c r="A617" s="5" t="s">
        <v>624</v>
      </c>
      <c r="B617" s="8">
        <v>46089</v>
      </c>
      <c r="C617" s="5" t="s">
        <v>977</v>
      </c>
      <c r="D617" s="5" t="s">
        <v>15</v>
      </c>
      <c r="E617" s="5" t="s">
        <v>981</v>
      </c>
      <c r="F617" s="5" t="s">
        <v>965</v>
      </c>
      <c r="G617" s="5">
        <v>10</v>
      </c>
      <c r="H617" s="5" t="s">
        <v>963</v>
      </c>
      <c r="I617" s="13">
        <v>510936131</v>
      </c>
      <c r="J617" s="10" t="s">
        <v>1600</v>
      </c>
      <c r="K617" t="str">
        <f>LEFT(C617,FIND(" ",C617)-1)&amp;"-"&amp;E617&amp;" "&amp;"Filialina çardırılma"</f>
        <v>Elnur-Gəncə Filialina çardırılma</v>
      </c>
      <c r="L617">
        <f>VLOOKUP(D617,Anbar!$A$2:$B$5,2,FALSE)</f>
        <v>600</v>
      </c>
      <c r="M617">
        <f>VLOOKUP(D617,Anbar!$A$2:$C$5,3,FALSE)</f>
        <v>950</v>
      </c>
      <c r="N617">
        <f t="shared" si="18"/>
        <v>9500</v>
      </c>
      <c r="O617">
        <f t="shared" si="19"/>
        <v>3500</v>
      </c>
      <c r="P617">
        <f>IF(AND(F617="Nağd",G617&gt;5),M617*0.9,"0%")</f>
        <v>855</v>
      </c>
      <c r="Q617" s="9" t="str">
        <f>IF(F617="Kredit",EOMONTH(B617,0),"")</f>
        <v/>
      </c>
      <c r="R617" s="17" t="str">
        <f>TEXT(B617,"dddd")</f>
        <v>Sunday</v>
      </c>
    </row>
    <row r="618" spans="1:18">
      <c r="A618" s="5" t="s">
        <v>625</v>
      </c>
      <c r="B618" s="8">
        <v>46096</v>
      </c>
      <c r="C618" s="5" t="s">
        <v>967</v>
      </c>
      <c r="D618" s="5" t="s">
        <v>968</v>
      </c>
      <c r="E618" s="5" t="s">
        <v>9</v>
      </c>
      <c r="F618" s="5" t="s">
        <v>965</v>
      </c>
      <c r="G618" s="5">
        <v>1</v>
      </c>
      <c r="H618" s="5" t="s">
        <v>963</v>
      </c>
      <c r="I618" s="13">
        <v>509717234</v>
      </c>
      <c r="J618" s="10" t="s">
        <v>1601</v>
      </c>
      <c r="K618" t="str">
        <f>LEFT(C618,FIND(" ",C618)-1)&amp;"-"&amp;E618&amp;" "&amp;"Filialina çardırılma"</f>
        <v>Aysel-Gence Filialina çardırılma</v>
      </c>
      <c r="L618">
        <f>VLOOKUP(D618,Anbar!$A$2:$B$5,2,FALSE)</f>
        <v>400</v>
      </c>
      <c r="M618">
        <f>VLOOKUP(D618,Anbar!$A$2:$C$5,3,FALSE)</f>
        <v>650</v>
      </c>
      <c r="N618">
        <f t="shared" si="18"/>
        <v>650</v>
      </c>
      <c r="O618">
        <f t="shared" si="19"/>
        <v>250</v>
      </c>
      <c r="P618" t="str">
        <f>IF(AND(F618="Nağd",G618&gt;5),M618*0.9,"0%")</f>
        <v>0%</v>
      </c>
      <c r="Q618" s="9" t="str">
        <f>IF(F618="Kredit",EOMONTH(B618,0),"")</f>
        <v/>
      </c>
      <c r="R618" s="17" t="str">
        <f>TEXT(B618,"dddd")</f>
        <v>Sunday</v>
      </c>
    </row>
    <row r="619" spans="1:18">
      <c r="A619" s="5" t="s">
        <v>626</v>
      </c>
      <c r="B619" s="8">
        <v>46048</v>
      </c>
      <c r="C619" s="5" t="s">
        <v>6</v>
      </c>
      <c r="D619" s="5" t="s">
        <v>20</v>
      </c>
      <c r="E619" s="5" t="s">
        <v>966</v>
      </c>
      <c r="F619" s="5" t="s">
        <v>4</v>
      </c>
      <c r="G619" s="5">
        <v>9</v>
      </c>
      <c r="H619" s="5" t="s">
        <v>963</v>
      </c>
      <c r="I619" s="13">
        <v>776488905</v>
      </c>
      <c r="J619" s="10" t="s">
        <v>1602</v>
      </c>
      <c r="K619" t="str">
        <f>LEFT(C619,FIND(" ",C619)-1)&amp;"-"&amp;E619&amp;" "&amp;"Filialina çardırılma"</f>
        <v>Zaur-Bakı Filialina çardırılma</v>
      </c>
      <c r="L619">
        <f>VLOOKUP(D619,Anbar!$A$2:$B$5,2,FALSE)</f>
        <v>15</v>
      </c>
      <c r="M619">
        <f>VLOOKUP(D619,Anbar!$A$2:$C$5,3,FALSE)</f>
        <v>45</v>
      </c>
      <c r="N619">
        <f t="shared" si="18"/>
        <v>405</v>
      </c>
      <c r="O619">
        <f t="shared" si="19"/>
        <v>270</v>
      </c>
      <c r="P619" t="str">
        <f>IF(AND(F619="Nağd",G619&gt;5),M619*0.9,"0%")</f>
        <v>0%</v>
      </c>
      <c r="Q619" s="9">
        <f>IF(F619="Kredit",EOMONTH(B619,0),"")</f>
        <v>46053</v>
      </c>
      <c r="R619" s="17" t="str">
        <f>TEXT(B619,"dddd")</f>
        <v>Monday</v>
      </c>
    </row>
    <row r="620" spans="1:18">
      <c r="A620" s="5" t="s">
        <v>627</v>
      </c>
      <c r="B620" s="8">
        <v>46149</v>
      </c>
      <c r="C620" s="5" t="s">
        <v>975</v>
      </c>
      <c r="D620" s="5" t="s">
        <v>15</v>
      </c>
      <c r="E620" s="5" t="s">
        <v>9</v>
      </c>
      <c r="F620" s="5" t="s">
        <v>7</v>
      </c>
      <c r="G620" s="5">
        <v>6</v>
      </c>
      <c r="H620" s="5" t="s">
        <v>963</v>
      </c>
      <c r="I620" s="13">
        <v>505188256</v>
      </c>
      <c r="J620" s="10" t="s">
        <v>1603</v>
      </c>
      <c r="K620" t="str">
        <f>LEFT(C620,FIND(" ",C620)-1)&amp;"-"&amp;E620&amp;" "&amp;"Filialina çardırılma"</f>
        <v>Murad-Gence Filialina çardırılma</v>
      </c>
      <c r="L620">
        <f>VLOOKUP(D620,Anbar!$A$2:$B$5,2,FALSE)</f>
        <v>600</v>
      </c>
      <c r="M620">
        <f>VLOOKUP(D620,Anbar!$A$2:$C$5,3,FALSE)</f>
        <v>950</v>
      </c>
      <c r="N620">
        <f t="shared" si="18"/>
        <v>5700</v>
      </c>
      <c r="O620">
        <f t="shared" si="19"/>
        <v>2100</v>
      </c>
      <c r="P620" t="str">
        <f>IF(AND(F620="Nağd",G620&gt;5),M620*0.9,"0%")</f>
        <v>0%</v>
      </c>
      <c r="Q620" s="9" t="str">
        <f>IF(F620="Kredit",EOMONTH(B620,0),"")</f>
        <v/>
      </c>
      <c r="R620" s="17" t="str">
        <f>TEXT(B620,"dddd")</f>
        <v>Thursday</v>
      </c>
    </row>
    <row r="621" spans="1:18">
      <c r="A621" s="5" t="s">
        <v>628</v>
      </c>
      <c r="B621" s="8">
        <v>46107</v>
      </c>
      <c r="C621" s="5" t="s">
        <v>979</v>
      </c>
      <c r="D621" s="5" t="s">
        <v>20</v>
      </c>
      <c r="E621" s="5" t="s">
        <v>9</v>
      </c>
      <c r="F621" s="5" t="s">
        <v>4</v>
      </c>
      <c r="G621" s="5">
        <v>6</v>
      </c>
      <c r="H621" s="5" t="s">
        <v>963</v>
      </c>
      <c r="I621" s="13">
        <v>505217532</v>
      </c>
      <c r="J621" s="10" t="s">
        <v>1604</v>
      </c>
      <c r="K621" t="str">
        <f>LEFT(C621,FIND(" ",C621)-1)&amp;"-"&amp;E621&amp;" "&amp;"Filialina çardırılma"</f>
        <v>Leyla-Gence Filialina çardırılma</v>
      </c>
      <c r="L621">
        <f>VLOOKUP(D621,Anbar!$A$2:$B$5,2,FALSE)</f>
        <v>15</v>
      </c>
      <c r="M621">
        <f>VLOOKUP(D621,Anbar!$A$2:$C$5,3,FALSE)</f>
        <v>45</v>
      </c>
      <c r="N621">
        <f t="shared" si="18"/>
        <v>270</v>
      </c>
      <c r="O621">
        <f t="shared" si="19"/>
        <v>180</v>
      </c>
      <c r="P621" t="str">
        <f>IF(AND(F621="Nağd",G621&gt;5),M621*0.9,"0%")</f>
        <v>0%</v>
      </c>
      <c r="Q621" s="9">
        <f>IF(F621="Kredit",EOMONTH(B621,0),"")</f>
        <v>46112</v>
      </c>
      <c r="R621" s="17" t="str">
        <f>TEXT(B621,"dddd")</f>
        <v>Thursday</v>
      </c>
    </row>
    <row r="622" spans="1:18">
      <c r="A622" s="5" t="s">
        <v>629</v>
      </c>
      <c r="B622" s="8">
        <v>46167</v>
      </c>
      <c r="C622" s="5" t="s">
        <v>979</v>
      </c>
      <c r="D622" s="5" t="s">
        <v>971</v>
      </c>
      <c r="E622" s="5" t="s">
        <v>9</v>
      </c>
      <c r="F622" s="5" t="s">
        <v>4</v>
      </c>
      <c r="G622" s="5">
        <v>6</v>
      </c>
      <c r="H622" s="5" t="s">
        <v>963</v>
      </c>
      <c r="I622" s="13">
        <v>518857651</v>
      </c>
      <c r="J622" s="10" t="s">
        <v>1605</v>
      </c>
      <c r="K622" t="str">
        <f>LEFT(C622,FIND(" ",C622)-1)&amp;"-"&amp;E622&amp;" "&amp;"Filialina çardırılma"</f>
        <v>Leyla-Gence Filialina çardırılma</v>
      </c>
      <c r="L622">
        <f>VLOOKUP(D622,Anbar!$A$2:$B$5,2,FALSE)</f>
        <v>1200</v>
      </c>
      <c r="M622">
        <f>VLOOKUP(D622,Anbar!$A$2:$C$5,3,FALSE)</f>
        <v>1800</v>
      </c>
      <c r="N622">
        <f t="shared" si="18"/>
        <v>10800</v>
      </c>
      <c r="O622">
        <f t="shared" si="19"/>
        <v>3600</v>
      </c>
      <c r="P622" t="str">
        <f>IF(AND(F622="Nağd",G622&gt;5),M622*0.9,"0%")</f>
        <v>0%</v>
      </c>
      <c r="Q622" s="9">
        <f>IF(F622="Kredit",EOMONTH(B622,0),"")</f>
        <v>46173</v>
      </c>
      <c r="R622" s="17" t="str">
        <f>TEXT(B622,"dddd")</f>
        <v>Monday</v>
      </c>
    </row>
    <row r="623" spans="1:18">
      <c r="A623" s="5" t="s">
        <v>630</v>
      </c>
      <c r="B623" s="8">
        <v>46080</v>
      </c>
      <c r="C623" s="5" t="s">
        <v>976</v>
      </c>
      <c r="D623" s="5" t="s">
        <v>15</v>
      </c>
      <c r="E623" s="5" t="s">
        <v>966</v>
      </c>
      <c r="F623" s="5" t="s">
        <v>4</v>
      </c>
      <c r="G623" s="5">
        <v>3</v>
      </c>
      <c r="H623" s="5" t="s">
        <v>963</v>
      </c>
      <c r="I623" s="13">
        <v>514881920</v>
      </c>
      <c r="J623" s="10" t="s">
        <v>1606</v>
      </c>
      <c r="K623" t="str">
        <f>LEFT(C623,FIND(" ",C623)-1)&amp;"-"&amp;E623&amp;" "&amp;"Filialina çardırılma"</f>
        <v>Nərgin-Bakı Filialina çardırılma</v>
      </c>
      <c r="L623">
        <f>VLOOKUP(D623,Anbar!$A$2:$B$5,2,FALSE)</f>
        <v>600</v>
      </c>
      <c r="M623">
        <f>VLOOKUP(D623,Anbar!$A$2:$C$5,3,FALSE)</f>
        <v>950</v>
      </c>
      <c r="N623">
        <f t="shared" si="18"/>
        <v>2850</v>
      </c>
      <c r="O623">
        <f t="shared" si="19"/>
        <v>1050</v>
      </c>
      <c r="P623" t="str">
        <f>IF(AND(F623="Nağd",G623&gt;5),M623*0.9,"0%")</f>
        <v>0%</v>
      </c>
      <c r="Q623" s="9">
        <f>IF(F623="Kredit",EOMONTH(B623,0),"")</f>
        <v>46081</v>
      </c>
      <c r="R623" s="17" t="str">
        <f>TEXT(B623,"dddd")</f>
        <v>Friday</v>
      </c>
    </row>
    <row r="624" spans="1:18">
      <c r="A624" s="5" t="s">
        <v>631</v>
      </c>
      <c r="B624" s="8">
        <v>46121</v>
      </c>
      <c r="C624" s="5" t="s">
        <v>974</v>
      </c>
      <c r="D624" s="5" t="s">
        <v>971</v>
      </c>
      <c r="E624" s="5" t="s">
        <v>964</v>
      </c>
      <c r="F624" s="5" t="s">
        <v>965</v>
      </c>
      <c r="G624" s="5">
        <v>8</v>
      </c>
      <c r="H624" s="5" t="s">
        <v>963</v>
      </c>
      <c r="I624" s="13">
        <v>704214754</v>
      </c>
      <c r="J624" s="10" t="s">
        <v>1607</v>
      </c>
      <c r="K624" t="str">
        <f>LEFT(C624,FIND(" ",C624)-1)&amp;"-"&amp;E624&amp;" "&amp;"Filialina çardırılma"</f>
        <v>Ramil-Sumqayıt Filialina çardırılma</v>
      </c>
      <c r="L624">
        <f>VLOOKUP(D624,Anbar!$A$2:$B$5,2,FALSE)</f>
        <v>1200</v>
      </c>
      <c r="M624">
        <f>VLOOKUP(D624,Anbar!$A$2:$C$5,3,FALSE)</f>
        <v>1800</v>
      </c>
      <c r="N624">
        <f t="shared" si="18"/>
        <v>14400</v>
      </c>
      <c r="O624">
        <f t="shared" si="19"/>
        <v>4800</v>
      </c>
      <c r="P624">
        <f>IF(AND(F624="Nağd",G624&gt;5),M624*0.9,"0%")</f>
        <v>1620</v>
      </c>
      <c r="Q624" s="9" t="str">
        <f>IF(F624="Kredit",EOMONTH(B624,0),"")</f>
        <v/>
      </c>
      <c r="R624" s="17" t="str">
        <f>TEXT(B624,"dddd")</f>
        <v>Thursday</v>
      </c>
    </row>
    <row r="625" spans="1:18">
      <c r="A625" s="5" t="s">
        <v>632</v>
      </c>
      <c r="B625" s="8">
        <v>46114</v>
      </c>
      <c r="C625" s="5" t="s">
        <v>977</v>
      </c>
      <c r="D625" s="5" t="s">
        <v>20</v>
      </c>
      <c r="E625" s="5" t="s">
        <v>981</v>
      </c>
      <c r="F625" s="5" t="s">
        <v>965</v>
      </c>
      <c r="G625" s="5">
        <v>10</v>
      </c>
      <c r="H625" s="5" t="s">
        <v>963</v>
      </c>
      <c r="I625" s="13">
        <v>553445212</v>
      </c>
      <c r="J625" s="10" t="s">
        <v>1608</v>
      </c>
      <c r="K625" t="str">
        <f>LEFT(C625,FIND(" ",C625)-1)&amp;"-"&amp;E625&amp;" "&amp;"Filialina çardırılma"</f>
        <v>Elnur-Gəncə Filialina çardırılma</v>
      </c>
      <c r="L625">
        <f>VLOOKUP(D625,Anbar!$A$2:$B$5,2,FALSE)</f>
        <v>15</v>
      </c>
      <c r="M625">
        <f>VLOOKUP(D625,Anbar!$A$2:$C$5,3,FALSE)</f>
        <v>45</v>
      </c>
      <c r="N625">
        <f t="shared" si="18"/>
        <v>450</v>
      </c>
      <c r="O625">
        <f t="shared" si="19"/>
        <v>300</v>
      </c>
      <c r="P625">
        <f>IF(AND(F625="Nağd",G625&gt;5),M625*0.9,"0%")</f>
        <v>40.5</v>
      </c>
      <c r="Q625" s="9" t="str">
        <f>IF(F625="Kredit",EOMONTH(B625,0),"")</f>
        <v/>
      </c>
      <c r="R625" s="17" t="str">
        <f>TEXT(B625,"dddd")</f>
        <v>Thursday</v>
      </c>
    </row>
    <row r="626" spans="1:18">
      <c r="A626" s="5" t="s">
        <v>633</v>
      </c>
      <c r="B626" s="8">
        <v>46066</v>
      </c>
      <c r="C626" s="5" t="s">
        <v>6</v>
      </c>
      <c r="D626" s="5" t="s">
        <v>15</v>
      </c>
      <c r="E626" s="5" t="s">
        <v>981</v>
      </c>
      <c r="F626" s="5" t="s">
        <v>7</v>
      </c>
      <c r="G626" s="5">
        <v>10</v>
      </c>
      <c r="H626" s="5" t="s">
        <v>963</v>
      </c>
      <c r="I626" s="13">
        <v>770009796</v>
      </c>
      <c r="J626" s="10" t="s">
        <v>1609</v>
      </c>
      <c r="K626" t="str">
        <f>LEFT(C626,FIND(" ",C626)-1)&amp;"-"&amp;E626&amp;" "&amp;"Filialina çardırılma"</f>
        <v>Zaur-Gəncə Filialina çardırılma</v>
      </c>
      <c r="L626">
        <f>VLOOKUP(D626,Anbar!$A$2:$B$5,2,FALSE)</f>
        <v>600</v>
      </c>
      <c r="M626">
        <f>VLOOKUP(D626,Anbar!$A$2:$C$5,3,FALSE)</f>
        <v>950</v>
      </c>
      <c r="N626">
        <f t="shared" si="18"/>
        <v>9500</v>
      </c>
      <c r="O626">
        <f t="shared" si="19"/>
        <v>3500</v>
      </c>
      <c r="P626" t="str">
        <f>IF(AND(F626="Nağd",G626&gt;5),M626*0.9,"0%")</f>
        <v>0%</v>
      </c>
      <c r="Q626" s="9" t="str">
        <f>IF(F626="Kredit",EOMONTH(B626,0),"")</f>
        <v/>
      </c>
      <c r="R626" s="17" t="str">
        <f>TEXT(B626,"dddd")</f>
        <v>Friday</v>
      </c>
    </row>
    <row r="627" spans="1:18">
      <c r="A627" s="5" t="s">
        <v>634</v>
      </c>
      <c r="B627" s="8">
        <v>46099</v>
      </c>
      <c r="C627" s="5" t="s">
        <v>975</v>
      </c>
      <c r="D627" s="5" t="s">
        <v>971</v>
      </c>
      <c r="E627" s="5" t="s">
        <v>9</v>
      </c>
      <c r="F627" s="5" t="s">
        <v>4</v>
      </c>
      <c r="G627" s="5">
        <v>3</v>
      </c>
      <c r="H627" s="5" t="s">
        <v>963</v>
      </c>
      <c r="I627" s="13">
        <v>553268755</v>
      </c>
      <c r="J627" s="10" t="s">
        <v>1610</v>
      </c>
      <c r="K627" t="str">
        <f>LEFT(C627,FIND(" ",C627)-1)&amp;"-"&amp;E627&amp;" "&amp;"Filialina çardırılma"</f>
        <v>Murad-Gence Filialina çardırılma</v>
      </c>
      <c r="L627">
        <f>VLOOKUP(D627,Anbar!$A$2:$B$5,2,FALSE)</f>
        <v>1200</v>
      </c>
      <c r="M627">
        <f>VLOOKUP(D627,Anbar!$A$2:$C$5,3,FALSE)</f>
        <v>1800</v>
      </c>
      <c r="N627">
        <f t="shared" si="18"/>
        <v>5400</v>
      </c>
      <c r="O627">
        <f t="shared" si="19"/>
        <v>1800</v>
      </c>
      <c r="P627" t="str">
        <f>IF(AND(F627="Nağd",G627&gt;5),M627*0.9,"0%")</f>
        <v>0%</v>
      </c>
      <c r="Q627" s="9">
        <f>IF(F627="Kredit",EOMONTH(B627,0),"")</f>
        <v>46112</v>
      </c>
      <c r="R627" s="17" t="str">
        <f>TEXT(B627,"dddd")</f>
        <v>Wednesday</v>
      </c>
    </row>
    <row r="628" spans="1:18">
      <c r="A628" s="5" t="s">
        <v>635</v>
      </c>
      <c r="B628" s="8">
        <v>46046</v>
      </c>
      <c r="C628" s="5" t="s">
        <v>979</v>
      </c>
      <c r="D628" s="5" t="s">
        <v>15</v>
      </c>
      <c r="E628" s="5" t="s">
        <v>981</v>
      </c>
      <c r="F628" s="5" t="s">
        <v>965</v>
      </c>
      <c r="G628" s="5">
        <v>3</v>
      </c>
      <c r="H628" s="5" t="s">
        <v>963</v>
      </c>
      <c r="I628" s="13">
        <v>559674945</v>
      </c>
      <c r="J628" s="10" t="s">
        <v>1611</v>
      </c>
      <c r="K628" t="str">
        <f>LEFT(C628,FIND(" ",C628)-1)&amp;"-"&amp;E628&amp;" "&amp;"Filialina çardırılma"</f>
        <v>Leyla-Gəncə Filialina çardırılma</v>
      </c>
      <c r="L628">
        <f>VLOOKUP(D628,Anbar!$A$2:$B$5,2,FALSE)</f>
        <v>600</v>
      </c>
      <c r="M628">
        <f>VLOOKUP(D628,Anbar!$A$2:$C$5,3,FALSE)</f>
        <v>950</v>
      </c>
      <c r="N628">
        <f t="shared" si="18"/>
        <v>2850</v>
      </c>
      <c r="O628">
        <f t="shared" si="19"/>
        <v>1050</v>
      </c>
      <c r="P628" t="str">
        <f>IF(AND(F628="Nağd",G628&gt;5),M628*0.9,"0%")</f>
        <v>0%</v>
      </c>
      <c r="Q628" s="9" t="str">
        <f>IF(F628="Kredit",EOMONTH(B628,0),"")</f>
        <v/>
      </c>
      <c r="R628" s="17" t="str">
        <f>TEXT(B628,"dddd")</f>
        <v>Saturday</v>
      </c>
    </row>
    <row r="629" spans="1:18">
      <c r="A629" s="5" t="s">
        <v>636</v>
      </c>
      <c r="B629" s="8">
        <v>46079</v>
      </c>
      <c r="C629" s="5" t="s">
        <v>967</v>
      </c>
      <c r="D629" s="5" t="s">
        <v>15</v>
      </c>
      <c r="E629" s="5" t="s">
        <v>980</v>
      </c>
      <c r="F629" s="5" t="s">
        <v>4</v>
      </c>
      <c r="G629" s="5">
        <v>1</v>
      </c>
      <c r="H629" s="5" t="s">
        <v>963</v>
      </c>
      <c r="I629" s="13">
        <v>709272249</v>
      </c>
      <c r="J629" s="10" t="s">
        <v>1612</v>
      </c>
      <c r="K629" t="str">
        <f>LEFT(C629,FIND(" ",C629)-1)&amp;"-"&amp;E629&amp;" "&amp;"Filialina çardırılma"</f>
        <v>Aysel-Sumqayit Filialina çardırılma</v>
      </c>
      <c r="L629">
        <f>VLOOKUP(D629,Anbar!$A$2:$B$5,2,FALSE)</f>
        <v>600</v>
      </c>
      <c r="M629">
        <f>VLOOKUP(D629,Anbar!$A$2:$C$5,3,FALSE)</f>
        <v>950</v>
      </c>
      <c r="N629">
        <f t="shared" si="18"/>
        <v>950</v>
      </c>
      <c r="O629">
        <f t="shared" si="19"/>
        <v>350</v>
      </c>
      <c r="P629" t="str">
        <f>IF(AND(F629="Nağd",G629&gt;5),M629*0.9,"0%")</f>
        <v>0%</v>
      </c>
      <c r="Q629" s="9">
        <f>IF(F629="Kredit",EOMONTH(B629,0),"")</f>
        <v>46081</v>
      </c>
      <c r="R629" s="17" t="str">
        <f>TEXT(B629,"dddd")</f>
        <v>Thursday</v>
      </c>
    </row>
    <row r="630" spans="1:18">
      <c r="A630" s="5" t="s">
        <v>637</v>
      </c>
      <c r="B630" s="8">
        <v>46113</v>
      </c>
      <c r="C630" s="5" t="s">
        <v>975</v>
      </c>
      <c r="D630" s="5" t="s">
        <v>15</v>
      </c>
      <c r="E630" s="5" t="s">
        <v>981</v>
      </c>
      <c r="F630" s="5" t="s">
        <v>965</v>
      </c>
      <c r="G630" s="5">
        <v>3</v>
      </c>
      <c r="H630" s="5" t="s">
        <v>963</v>
      </c>
      <c r="I630" s="13">
        <v>774204582</v>
      </c>
      <c r="J630" s="10" t="s">
        <v>1613</v>
      </c>
      <c r="K630" t="str">
        <f>LEFT(C630,FIND(" ",C630)-1)&amp;"-"&amp;E630&amp;" "&amp;"Filialina çardırılma"</f>
        <v>Murad-Gəncə Filialina çardırılma</v>
      </c>
      <c r="L630">
        <f>VLOOKUP(D630,Anbar!$A$2:$B$5,2,FALSE)</f>
        <v>600</v>
      </c>
      <c r="M630">
        <f>VLOOKUP(D630,Anbar!$A$2:$C$5,3,FALSE)</f>
        <v>950</v>
      </c>
      <c r="N630">
        <f t="shared" si="18"/>
        <v>2850</v>
      </c>
      <c r="O630">
        <f t="shared" si="19"/>
        <v>1050</v>
      </c>
      <c r="P630" t="str">
        <f>IF(AND(F630="Nağd",G630&gt;5),M630*0.9,"0%")</f>
        <v>0%</v>
      </c>
      <c r="Q630" s="9" t="str">
        <f>IF(F630="Kredit",EOMONTH(B630,0),"")</f>
        <v/>
      </c>
      <c r="R630" s="17" t="str">
        <f>TEXT(B630,"dddd")</f>
        <v>Wednesday</v>
      </c>
    </row>
    <row r="631" spans="1:18">
      <c r="A631" s="5" t="s">
        <v>638</v>
      </c>
      <c r="B631" s="8">
        <v>46178</v>
      </c>
      <c r="C631" s="5" t="s">
        <v>978</v>
      </c>
      <c r="D631" s="5" t="s">
        <v>971</v>
      </c>
      <c r="E631" s="5" t="s">
        <v>983</v>
      </c>
      <c r="F631" s="5" t="s">
        <v>7</v>
      </c>
      <c r="G631" s="5">
        <v>7</v>
      </c>
      <c r="H631" s="5" t="s">
        <v>963</v>
      </c>
      <c r="I631" s="13">
        <v>510927749</v>
      </c>
      <c r="J631" s="10" t="s">
        <v>1614</v>
      </c>
      <c r="K631" t="str">
        <f>LEFT(C631,FIND(" ",C631)-1)&amp;"-"&amp;E631&amp;" "&amp;"Filialina çardırılma"</f>
        <v>Əli-Naməlum Filialina çardırılma</v>
      </c>
      <c r="L631">
        <f>VLOOKUP(D631,Anbar!$A$2:$B$5,2,FALSE)</f>
        <v>1200</v>
      </c>
      <c r="M631">
        <f>VLOOKUP(D631,Anbar!$A$2:$C$5,3,FALSE)</f>
        <v>1800</v>
      </c>
      <c r="N631">
        <f t="shared" si="18"/>
        <v>12600</v>
      </c>
      <c r="O631">
        <f t="shared" si="19"/>
        <v>4200</v>
      </c>
      <c r="P631" t="str">
        <f>IF(AND(F631="Nağd",G631&gt;5),M631*0.9,"0%")</f>
        <v>0%</v>
      </c>
      <c r="Q631" s="9" t="str">
        <f>IF(F631="Kredit",EOMONTH(B631,0),"")</f>
        <v/>
      </c>
      <c r="R631" s="17" t="str">
        <f>TEXT(B631,"dddd")</f>
        <v>Friday</v>
      </c>
    </row>
    <row r="632" spans="1:18">
      <c r="A632" s="5" t="s">
        <v>639</v>
      </c>
      <c r="B632" s="8">
        <v>46167</v>
      </c>
      <c r="C632" s="5" t="s">
        <v>975</v>
      </c>
      <c r="D632" s="5" t="s">
        <v>20</v>
      </c>
      <c r="E632" s="5" t="s">
        <v>966</v>
      </c>
      <c r="F632" s="5" t="s">
        <v>965</v>
      </c>
      <c r="G632" s="5">
        <v>3</v>
      </c>
      <c r="H632" s="5" t="s">
        <v>963</v>
      </c>
      <c r="I632" s="13">
        <v>515661872</v>
      </c>
      <c r="J632" s="10" t="s">
        <v>1615</v>
      </c>
      <c r="K632" t="str">
        <f>LEFT(C632,FIND(" ",C632)-1)&amp;"-"&amp;E632&amp;" "&amp;"Filialina çardırılma"</f>
        <v>Murad-Bakı Filialina çardırılma</v>
      </c>
      <c r="L632">
        <f>VLOOKUP(D632,Anbar!$A$2:$B$5,2,FALSE)</f>
        <v>15</v>
      </c>
      <c r="M632">
        <f>VLOOKUP(D632,Anbar!$A$2:$C$5,3,FALSE)</f>
        <v>45</v>
      </c>
      <c r="N632">
        <f t="shared" si="18"/>
        <v>135</v>
      </c>
      <c r="O632">
        <f t="shared" si="19"/>
        <v>90</v>
      </c>
      <c r="P632" t="str">
        <f>IF(AND(F632="Nağd",G632&gt;5),M632*0.9,"0%")</f>
        <v>0%</v>
      </c>
      <c r="Q632" s="9" t="str">
        <f>IF(F632="Kredit",EOMONTH(B632,0),"")</f>
        <v/>
      </c>
      <c r="R632" s="17" t="str">
        <f>TEXT(B632,"dddd")</f>
        <v>Monday</v>
      </c>
    </row>
    <row r="633" spans="1:18">
      <c r="A633" s="5" t="s">
        <v>640</v>
      </c>
      <c r="B633" s="8">
        <v>46044</v>
      </c>
      <c r="C633" s="5" t="s">
        <v>967</v>
      </c>
      <c r="D633" s="5" t="s">
        <v>15</v>
      </c>
      <c r="E633" s="5" t="s">
        <v>981</v>
      </c>
      <c r="F633" s="5" t="s">
        <v>965</v>
      </c>
      <c r="G633" s="5">
        <v>2</v>
      </c>
      <c r="H633" s="5" t="s">
        <v>963</v>
      </c>
      <c r="I633" s="13">
        <v>701724026</v>
      </c>
      <c r="J633" s="10" t="s">
        <v>1616</v>
      </c>
      <c r="K633" t="str">
        <f>LEFT(C633,FIND(" ",C633)-1)&amp;"-"&amp;E633&amp;" "&amp;"Filialina çardırılma"</f>
        <v>Aysel-Gəncə Filialina çardırılma</v>
      </c>
      <c r="L633">
        <f>VLOOKUP(D633,Anbar!$A$2:$B$5,2,FALSE)</f>
        <v>600</v>
      </c>
      <c r="M633">
        <f>VLOOKUP(D633,Anbar!$A$2:$C$5,3,FALSE)</f>
        <v>950</v>
      </c>
      <c r="N633">
        <f t="shared" si="18"/>
        <v>1900</v>
      </c>
      <c r="O633">
        <f t="shared" si="19"/>
        <v>700</v>
      </c>
      <c r="P633" t="str">
        <f>IF(AND(F633="Nağd",G633&gt;5),M633*0.9,"0%")</f>
        <v>0%</v>
      </c>
      <c r="Q633" s="9" t="str">
        <f>IF(F633="Kredit",EOMONTH(B633,0),"")</f>
        <v/>
      </c>
      <c r="R633" s="17" t="str">
        <f>TEXT(B633,"dddd")</f>
        <v>Thursday</v>
      </c>
    </row>
    <row r="634" spans="1:18">
      <c r="A634" s="5" t="s">
        <v>641</v>
      </c>
      <c r="B634" s="8">
        <v>46043</v>
      </c>
      <c r="C634" s="5" t="s">
        <v>979</v>
      </c>
      <c r="D634" s="5" t="s">
        <v>968</v>
      </c>
      <c r="E634" s="5" t="s">
        <v>966</v>
      </c>
      <c r="F634" s="5" t="s">
        <v>965</v>
      </c>
      <c r="G634" s="5">
        <v>6</v>
      </c>
      <c r="H634" s="5" t="s">
        <v>963</v>
      </c>
      <c r="I634" s="13">
        <v>703738938</v>
      </c>
      <c r="J634" s="10" t="s">
        <v>1617</v>
      </c>
      <c r="K634" t="str">
        <f>LEFT(C634,FIND(" ",C634)-1)&amp;"-"&amp;E634&amp;" "&amp;"Filialina çardırılma"</f>
        <v>Leyla-Bakı Filialina çardırılma</v>
      </c>
      <c r="L634">
        <f>VLOOKUP(D634,Anbar!$A$2:$B$5,2,FALSE)</f>
        <v>400</v>
      </c>
      <c r="M634">
        <f>VLOOKUP(D634,Anbar!$A$2:$C$5,3,FALSE)</f>
        <v>650</v>
      </c>
      <c r="N634">
        <f t="shared" si="18"/>
        <v>3900</v>
      </c>
      <c r="O634">
        <f t="shared" si="19"/>
        <v>1500</v>
      </c>
      <c r="P634">
        <f>IF(AND(F634="Nağd",G634&gt;5),M634*0.9,"0%")</f>
        <v>585</v>
      </c>
      <c r="Q634" s="9" t="str">
        <f>IF(F634="Kredit",EOMONTH(B634,0),"")</f>
        <v/>
      </c>
      <c r="R634" s="17" t="str">
        <f>TEXT(B634,"dddd")</f>
        <v>Wednesday</v>
      </c>
    </row>
    <row r="635" spans="1:18">
      <c r="A635" s="5" t="s">
        <v>642</v>
      </c>
      <c r="B635" s="8">
        <v>46049</v>
      </c>
      <c r="C635" s="5" t="s">
        <v>976</v>
      </c>
      <c r="D635" s="5" t="s">
        <v>20</v>
      </c>
      <c r="E635" s="5" t="s">
        <v>966</v>
      </c>
      <c r="F635" s="5" t="s">
        <v>965</v>
      </c>
      <c r="G635" s="5">
        <v>8</v>
      </c>
      <c r="H635" s="5" t="s">
        <v>963</v>
      </c>
      <c r="I635" s="13">
        <v>514217305</v>
      </c>
      <c r="J635" s="10" t="s">
        <v>1618</v>
      </c>
      <c r="K635" t="str">
        <f>LEFT(C635,FIND(" ",C635)-1)&amp;"-"&amp;E635&amp;" "&amp;"Filialina çardırılma"</f>
        <v>Nərgin-Bakı Filialina çardırılma</v>
      </c>
      <c r="L635">
        <f>VLOOKUP(D635,Anbar!$A$2:$B$5,2,FALSE)</f>
        <v>15</v>
      </c>
      <c r="M635">
        <f>VLOOKUP(D635,Anbar!$A$2:$C$5,3,FALSE)</f>
        <v>45</v>
      </c>
      <c r="N635">
        <f t="shared" si="18"/>
        <v>360</v>
      </c>
      <c r="O635">
        <f t="shared" si="19"/>
        <v>240</v>
      </c>
      <c r="P635">
        <f>IF(AND(F635="Nağd",G635&gt;5),M635*0.9,"0%")</f>
        <v>40.5</v>
      </c>
      <c r="Q635" s="9" t="str">
        <f>IF(F635="Kredit",EOMONTH(B635,0),"")</f>
        <v/>
      </c>
      <c r="R635" s="17" t="str">
        <f>TEXT(B635,"dddd")</f>
        <v>Tuesday</v>
      </c>
    </row>
    <row r="636" spans="1:18">
      <c r="A636" s="5" t="s">
        <v>643</v>
      </c>
      <c r="B636" s="8">
        <v>46030</v>
      </c>
      <c r="C636" s="5" t="s">
        <v>977</v>
      </c>
      <c r="D636" s="5" t="s">
        <v>971</v>
      </c>
      <c r="E636" s="5" t="s">
        <v>964</v>
      </c>
      <c r="F636" s="5" t="s">
        <v>4</v>
      </c>
      <c r="G636" s="5">
        <v>3</v>
      </c>
      <c r="H636" s="5" t="s">
        <v>963</v>
      </c>
      <c r="I636" s="13">
        <v>703716008</v>
      </c>
      <c r="J636" s="10" t="s">
        <v>1619</v>
      </c>
      <c r="K636" t="str">
        <f>LEFT(C636,FIND(" ",C636)-1)&amp;"-"&amp;E636&amp;" "&amp;"Filialina çardırılma"</f>
        <v>Elnur-Sumqayıt Filialina çardırılma</v>
      </c>
      <c r="L636">
        <f>VLOOKUP(D636,Anbar!$A$2:$B$5,2,FALSE)</f>
        <v>1200</v>
      </c>
      <c r="M636">
        <f>VLOOKUP(D636,Anbar!$A$2:$C$5,3,FALSE)</f>
        <v>1800</v>
      </c>
      <c r="N636">
        <f t="shared" si="18"/>
        <v>5400</v>
      </c>
      <c r="O636">
        <f t="shared" si="19"/>
        <v>1800</v>
      </c>
      <c r="P636" t="str">
        <f>IF(AND(F636="Nağd",G636&gt;5),M636*0.9,"0%")</f>
        <v>0%</v>
      </c>
      <c r="Q636" s="9">
        <f>IF(F636="Kredit",EOMONTH(B636,0),"")</f>
        <v>46053</v>
      </c>
      <c r="R636" s="17" t="str">
        <f>TEXT(B636,"dddd")</f>
        <v>Thursday</v>
      </c>
    </row>
    <row r="637" spans="1:18">
      <c r="A637" s="5" t="s">
        <v>644</v>
      </c>
      <c r="B637" s="8">
        <v>46051</v>
      </c>
      <c r="C637" s="5" t="s">
        <v>967</v>
      </c>
      <c r="D637" s="5" t="s">
        <v>20</v>
      </c>
      <c r="E637" s="5" t="s">
        <v>980</v>
      </c>
      <c r="F637" s="5" t="s">
        <v>4</v>
      </c>
      <c r="G637" s="5">
        <v>6</v>
      </c>
      <c r="H637" s="5" t="s">
        <v>963</v>
      </c>
      <c r="I637" s="13">
        <v>515859089</v>
      </c>
      <c r="J637" s="10" t="s">
        <v>1620</v>
      </c>
      <c r="K637" t="str">
        <f>LEFT(C637,FIND(" ",C637)-1)&amp;"-"&amp;E637&amp;" "&amp;"Filialina çardırılma"</f>
        <v>Aysel-Sumqayit Filialina çardırılma</v>
      </c>
      <c r="L637">
        <f>VLOOKUP(D637,Anbar!$A$2:$B$5,2,FALSE)</f>
        <v>15</v>
      </c>
      <c r="M637">
        <f>VLOOKUP(D637,Anbar!$A$2:$C$5,3,FALSE)</f>
        <v>45</v>
      </c>
      <c r="N637">
        <f t="shared" si="18"/>
        <v>270</v>
      </c>
      <c r="O637">
        <f t="shared" si="19"/>
        <v>180</v>
      </c>
      <c r="P637" t="str">
        <f>IF(AND(F637="Nağd",G637&gt;5),M637*0.9,"0%")</f>
        <v>0%</v>
      </c>
      <c r="Q637" s="9">
        <f>IF(F637="Kredit",EOMONTH(B637,0),"")</f>
        <v>46053</v>
      </c>
      <c r="R637" s="17" t="str">
        <f>TEXT(B637,"dddd")</f>
        <v>Thursday</v>
      </c>
    </row>
    <row r="638" spans="1:18">
      <c r="A638" s="5" t="s">
        <v>645</v>
      </c>
      <c r="B638" s="8">
        <v>46133</v>
      </c>
      <c r="C638" s="5" t="s">
        <v>979</v>
      </c>
      <c r="D638" s="5" t="s">
        <v>15</v>
      </c>
      <c r="E638" s="5" t="s">
        <v>981</v>
      </c>
      <c r="F638" s="5" t="s">
        <v>965</v>
      </c>
      <c r="G638" s="5">
        <v>10</v>
      </c>
      <c r="H638" s="5" t="s">
        <v>963</v>
      </c>
      <c r="I638" s="13">
        <v>513526011</v>
      </c>
      <c r="J638" s="10" t="s">
        <v>1621</v>
      </c>
      <c r="K638" t="str">
        <f>LEFT(C638,FIND(" ",C638)-1)&amp;"-"&amp;E638&amp;" "&amp;"Filialina çardırılma"</f>
        <v>Leyla-Gəncə Filialina çardırılma</v>
      </c>
      <c r="L638">
        <f>VLOOKUP(D638,Anbar!$A$2:$B$5,2,FALSE)</f>
        <v>600</v>
      </c>
      <c r="M638">
        <f>VLOOKUP(D638,Anbar!$A$2:$C$5,3,FALSE)</f>
        <v>950</v>
      </c>
      <c r="N638">
        <f t="shared" si="18"/>
        <v>9500</v>
      </c>
      <c r="O638">
        <f t="shared" si="19"/>
        <v>3500</v>
      </c>
      <c r="P638">
        <f>IF(AND(F638="Nağd",G638&gt;5),M638*0.9,"0%")</f>
        <v>855</v>
      </c>
      <c r="Q638" s="9" t="str">
        <f>IF(F638="Kredit",EOMONTH(B638,0),"")</f>
        <v/>
      </c>
      <c r="R638" s="17" t="str">
        <f>TEXT(B638,"dddd")</f>
        <v>Tuesday</v>
      </c>
    </row>
    <row r="639" spans="1:18">
      <c r="A639" s="5" t="s">
        <v>646</v>
      </c>
      <c r="B639" s="8">
        <v>46078</v>
      </c>
      <c r="C639" s="5" t="s">
        <v>6</v>
      </c>
      <c r="D639" s="5" t="s">
        <v>20</v>
      </c>
      <c r="E639" s="5" t="s">
        <v>964</v>
      </c>
      <c r="F639" s="5" t="s">
        <v>7</v>
      </c>
      <c r="G639" s="5">
        <v>2</v>
      </c>
      <c r="H639" s="5" t="s">
        <v>963</v>
      </c>
      <c r="I639" s="13">
        <v>515087712</v>
      </c>
      <c r="J639" s="10" t="s">
        <v>1622</v>
      </c>
      <c r="K639" t="str">
        <f>LEFT(C639,FIND(" ",C639)-1)&amp;"-"&amp;E639&amp;" "&amp;"Filialina çardırılma"</f>
        <v>Zaur-Sumqayıt Filialina çardırılma</v>
      </c>
      <c r="L639">
        <f>VLOOKUP(D639,Anbar!$A$2:$B$5,2,FALSE)</f>
        <v>15</v>
      </c>
      <c r="M639">
        <f>VLOOKUP(D639,Anbar!$A$2:$C$5,3,FALSE)</f>
        <v>45</v>
      </c>
      <c r="N639">
        <f t="shared" si="18"/>
        <v>90</v>
      </c>
      <c r="O639">
        <f t="shared" si="19"/>
        <v>60</v>
      </c>
      <c r="P639" t="str">
        <f>IF(AND(F639="Nağd",G639&gt;5),M639*0.9,"0%")</f>
        <v>0%</v>
      </c>
      <c r="Q639" s="9" t="str">
        <f>IF(F639="Kredit",EOMONTH(B639,0),"")</f>
        <v/>
      </c>
      <c r="R639" s="17" t="str">
        <f>TEXT(B639,"dddd")</f>
        <v>Wednesday</v>
      </c>
    </row>
    <row r="640" spans="1:18">
      <c r="A640" s="5" t="s">
        <v>647</v>
      </c>
      <c r="B640" s="8">
        <v>46062</v>
      </c>
      <c r="C640" s="5" t="s">
        <v>977</v>
      </c>
      <c r="D640" s="5" t="s">
        <v>968</v>
      </c>
      <c r="E640" s="5" t="s">
        <v>966</v>
      </c>
      <c r="F640" s="5" t="s">
        <v>4</v>
      </c>
      <c r="G640" s="5">
        <v>3</v>
      </c>
      <c r="H640" s="5" t="s">
        <v>963</v>
      </c>
      <c r="I640" s="13">
        <v>551050102</v>
      </c>
      <c r="J640" s="10" t="s">
        <v>1623</v>
      </c>
      <c r="K640" t="str">
        <f>LEFT(C640,FIND(" ",C640)-1)&amp;"-"&amp;E640&amp;" "&amp;"Filialina çardırılma"</f>
        <v>Elnur-Bakı Filialina çardırılma</v>
      </c>
      <c r="L640">
        <f>VLOOKUP(D640,Anbar!$A$2:$B$5,2,FALSE)</f>
        <v>400</v>
      </c>
      <c r="M640">
        <f>VLOOKUP(D640,Anbar!$A$2:$C$5,3,FALSE)</f>
        <v>650</v>
      </c>
      <c r="N640">
        <f t="shared" si="18"/>
        <v>1950</v>
      </c>
      <c r="O640">
        <f t="shared" si="19"/>
        <v>750</v>
      </c>
      <c r="P640" t="str">
        <f>IF(AND(F640="Nağd",G640&gt;5),M640*0.9,"0%")</f>
        <v>0%</v>
      </c>
      <c r="Q640" s="9">
        <f>IF(F640="Kredit",EOMONTH(B640,0),"")</f>
        <v>46081</v>
      </c>
      <c r="R640" s="17" t="str">
        <f>TEXT(B640,"dddd")</f>
        <v>Monday</v>
      </c>
    </row>
    <row r="641" spans="1:18">
      <c r="A641" s="5" t="s">
        <v>648</v>
      </c>
      <c r="B641" s="8">
        <v>46063</v>
      </c>
      <c r="C641" s="5" t="s">
        <v>974</v>
      </c>
      <c r="D641" s="5" t="s">
        <v>968</v>
      </c>
      <c r="E641" s="5" t="s">
        <v>982</v>
      </c>
      <c r="F641" s="5" t="s">
        <v>4</v>
      </c>
      <c r="G641" s="5">
        <v>2</v>
      </c>
      <c r="H641" s="5" t="s">
        <v>963</v>
      </c>
      <c r="I641" s="13">
        <v>558018016</v>
      </c>
      <c r="J641" s="10" t="s">
        <v>1624</v>
      </c>
      <c r="K641" t="str">
        <f>LEFT(C641,FIND(" ",C641)-1)&amp;"-"&amp;E641&amp;" "&amp;"Filialina çardırılma"</f>
        <v>Ramil-Baki Filialina çardırılma</v>
      </c>
      <c r="L641">
        <f>VLOOKUP(D641,Anbar!$A$2:$B$5,2,FALSE)</f>
        <v>400</v>
      </c>
      <c r="M641">
        <f>VLOOKUP(D641,Anbar!$A$2:$C$5,3,FALSE)</f>
        <v>650</v>
      </c>
      <c r="N641">
        <f t="shared" si="18"/>
        <v>1300</v>
      </c>
      <c r="O641">
        <f t="shared" si="19"/>
        <v>500</v>
      </c>
      <c r="P641" t="str">
        <f>IF(AND(F641="Nağd",G641&gt;5),M641*0.9,"0%")</f>
        <v>0%</v>
      </c>
      <c r="Q641" s="9">
        <f>IF(F641="Kredit",EOMONTH(B641,0),"")</f>
        <v>46081</v>
      </c>
      <c r="R641" s="17" t="str">
        <f>TEXT(B641,"dddd")</f>
        <v>Tuesday</v>
      </c>
    </row>
    <row r="642" spans="1:18">
      <c r="A642" s="5" t="s">
        <v>649</v>
      </c>
      <c r="B642" s="8">
        <v>46075</v>
      </c>
      <c r="C642" s="5" t="s">
        <v>978</v>
      </c>
      <c r="D642" s="5" t="s">
        <v>971</v>
      </c>
      <c r="E642" s="5" t="s">
        <v>982</v>
      </c>
      <c r="F642" s="5" t="s">
        <v>7</v>
      </c>
      <c r="G642" s="5">
        <v>8</v>
      </c>
      <c r="H642" s="5" t="s">
        <v>963</v>
      </c>
      <c r="I642" s="13">
        <v>503025983</v>
      </c>
      <c r="J642" s="10" t="s">
        <v>1625</v>
      </c>
      <c r="K642" t="str">
        <f>LEFT(C642,FIND(" ",C642)-1)&amp;"-"&amp;E642&amp;" "&amp;"Filialina çardırılma"</f>
        <v>Əli-Baki Filialina çardırılma</v>
      </c>
      <c r="L642">
        <f>VLOOKUP(D642,Anbar!$A$2:$B$5,2,FALSE)</f>
        <v>1200</v>
      </c>
      <c r="M642">
        <f>VLOOKUP(D642,Anbar!$A$2:$C$5,3,FALSE)</f>
        <v>1800</v>
      </c>
      <c r="N642">
        <f t="shared" si="18"/>
        <v>14400</v>
      </c>
      <c r="O642">
        <f t="shared" si="19"/>
        <v>4800</v>
      </c>
      <c r="P642" t="str">
        <f>IF(AND(F642="Nağd",G642&gt;5),M642*0.9,"0%")</f>
        <v>0%</v>
      </c>
      <c r="Q642" s="9" t="str">
        <f>IF(F642="Kredit",EOMONTH(B642,0),"")</f>
        <v/>
      </c>
      <c r="R642" s="17" t="str">
        <f>TEXT(B642,"dddd")</f>
        <v>Sunday</v>
      </c>
    </row>
    <row r="643" spans="1:18">
      <c r="A643" s="5" t="s">
        <v>650</v>
      </c>
      <c r="B643" s="8">
        <v>46145</v>
      </c>
      <c r="C643" s="5" t="s">
        <v>978</v>
      </c>
      <c r="D643" s="5" t="s">
        <v>20</v>
      </c>
      <c r="E643" s="5" t="s">
        <v>964</v>
      </c>
      <c r="F643" s="5" t="s">
        <v>965</v>
      </c>
      <c r="G643" s="5">
        <v>2</v>
      </c>
      <c r="H643" s="5" t="s">
        <v>963</v>
      </c>
      <c r="I643" s="13">
        <v>775546324</v>
      </c>
      <c r="J643" s="10" t="s">
        <v>1626</v>
      </c>
      <c r="K643" t="str">
        <f>LEFT(C643,FIND(" ",C643)-1)&amp;"-"&amp;E643&amp;" "&amp;"Filialina çardırılma"</f>
        <v>Əli-Sumqayıt Filialina çardırılma</v>
      </c>
      <c r="L643">
        <f>VLOOKUP(D643,Anbar!$A$2:$B$5,2,FALSE)</f>
        <v>15</v>
      </c>
      <c r="M643">
        <f>VLOOKUP(D643,Anbar!$A$2:$C$5,3,FALSE)</f>
        <v>45</v>
      </c>
      <c r="N643">
        <f t="shared" ref="N643:N706" si="20">G643*M643</f>
        <v>90</v>
      </c>
      <c r="O643">
        <f t="shared" ref="O643:O706" si="21">(M643-L643)*G643</f>
        <v>60</v>
      </c>
      <c r="P643" t="str">
        <f>IF(AND(F643="Nağd",G643&gt;5),M643*0.9,"0%")</f>
        <v>0%</v>
      </c>
      <c r="Q643" s="9" t="str">
        <f>IF(F643="Kredit",EOMONTH(B643,0),"")</f>
        <v/>
      </c>
      <c r="R643" s="17" t="str">
        <f>TEXT(B643,"dddd")</f>
        <v>Sunday</v>
      </c>
    </row>
    <row r="644" spans="1:18">
      <c r="A644" s="5" t="s">
        <v>651</v>
      </c>
      <c r="B644" s="8">
        <v>46141</v>
      </c>
      <c r="C644" s="5" t="s">
        <v>967</v>
      </c>
      <c r="D644" s="5" t="s">
        <v>20</v>
      </c>
      <c r="E644" s="5" t="s">
        <v>980</v>
      </c>
      <c r="F644" s="5" t="s">
        <v>965</v>
      </c>
      <c r="G644" s="5">
        <v>4</v>
      </c>
      <c r="H644" s="5" t="s">
        <v>963</v>
      </c>
      <c r="I644" s="13">
        <v>551444538</v>
      </c>
      <c r="J644" s="10" t="s">
        <v>1627</v>
      </c>
      <c r="K644" t="str">
        <f>LEFT(C644,FIND(" ",C644)-1)&amp;"-"&amp;E644&amp;" "&amp;"Filialina çardırılma"</f>
        <v>Aysel-Sumqayit Filialina çardırılma</v>
      </c>
      <c r="L644">
        <f>VLOOKUP(D644,Anbar!$A$2:$B$5,2,FALSE)</f>
        <v>15</v>
      </c>
      <c r="M644">
        <f>VLOOKUP(D644,Anbar!$A$2:$C$5,3,FALSE)</f>
        <v>45</v>
      </c>
      <c r="N644">
        <f t="shared" si="20"/>
        <v>180</v>
      </c>
      <c r="O644">
        <f t="shared" si="21"/>
        <v>120</v>
      </c>
      <c r="P644" t="str">
        <f>IF(AND(F644="Nağd",G644&gt;5),M644*0.9,"0%")</f>
        <v>0%</v>
      </c>
      <c r="Q644" s="9" t="str">
        <f>IF(F644="Kredit",EOMONTH(B644,0),"")</f>
        <v/>
      </c>
      <c r="R644" s="17" t="str">
        <f>TEXT(B644,"dddd")</f>
        <v>Wednesday</v>
      </c>
    </row>
    <row r="645" spans="1:18">
      <c r="A645" s="5" t="s">
        <v>652</v>
      </c>
      <c r="B645" s="8">
        <v>46040</v>
      </c>
      <c r="C645" s="5" t="s">
        <v>975</v>
      </c>
      <c r="D645" s="5" t="s">
        <v>971</v>
      </c>
      <c r="E645" s="5" t="s">
        <v>9</v>
      </c>
      <c r="F645" s="5" t="s">
        <v>965</v>
      </c>
      <c r="G645" s="5">
        <v>6</v>
      </c>
      <c r="H645" s="5" t="s">
        <v>963</v>
      </c>
      <c r="I645" s="13">
        <v>513364810</v>
      </c>
      <c r="J645" s="10" t="s">
        <v>1628</v>
      </c>
      <c r="K645" t="str">
        <f>LEFT(C645,FIND(" ",C645)-1)&amp;"-"&amp;E645&amp;" "&amp;"Filialina çardırılma"</f>
        <v>Murad-Gence Filialina çardırılma</v>
      </c>
      <c r="L645">
        <f>VLOOKUP(D645,Anbar!$A$2:$B$5,2,FALSE)</f>
        <v>1200</v>
      </c>
      <c r="M645">
        <f>VLOOKUP(D645,Anbar!$A$2:$C$5,3,FALSE)</f>
        <v>1800</v>
      </c>
      <c r="N645">
        <f t="shared" si="20"/>
        <v>10800</v>
      </c>
      <c r="O645">
        <f t="shared" si="21"/>
        <v>3600</v>
      </c>
      <c r="P645">
        <f>IF(AND(F645="Nağd",G645&gt;5),M645*0.9,"0%")</f>
        <v>1620</v>
      </c>
      <c r="Q645" s="9" t="str">
        <f>IF(F645="Kredit",EOMONTH(B645,0),"")</f>
        <v/>
      </c>
      <c r="R645" s="17" t="str">
        <f>TEXT(B645,"dddd")</f>
        <v>Sunday</v>
      </c>
    </row>
    <row r="646" spans="1:18">
      <c r="A646" s="5" t="s">
        <v>653</v>
      </c>
      <c r="B646" s="8">
        <v>46105</v>
      </c>
      <c r="C646" s="5" t="s">
        <v>977</v>
      </c>
      <c r="D646" s="5" t="s">
        <v>971</v>
      </c>
      <c r="E646" s="5" t="s">
        <v>966</v>
      </c>
      <c r="F646" s="5" t="s">
        <v>4</v>
      </c>
      <c r="G646" s="5">
        <v>3</v>
      </c>
      <c r="H646" s="5" t="s">
        <v>963</v>
      </c>
      <c r="I646" s="13">
        <v>556363085</v>
      </c>
      <c r="J646" s="10" t="s">
        <v>1629</v>
      </c>
      <c r="K646" t="str">
        <f>LEFT(C646,FIND(" ",C646)-1)&amp;"-"&amp;E646&amp;" "&amp;"Filialina çardırılma"</f>
        <v>Elnur-Bakı Filialina çardırılma</v>
      </c>
      <c r="L646">
        <f>VLOOKUP(D646,Anbar!$A$2:$B$5,2,FALSE)</f>
        <v>1200</v>
      </c>
      <c r="M646">
        <f>VLOOKUP(D646,Anbar!$A$2:$C$5,3,FALSE)</f>
        <v>1800</v>
      </c>
      <c r="N646">
        <f t="shared" si="20"/>
        <v>5400</v>
      </c>
      <c r="O646">
        <f t="shared" si="21"/>
        <v>1800</v>
      </c>
      <c r="P646" t="str">
        <f>IF(AND(F646="Nağd",G646&gt;5),M646*0.9,"0%")</f>
        <v>0%</v>
      </c>
      <c r="Q646" s="9">
        <f>IF(F646="Kredit",EOMONTH(B646,0),"")</f>
        <v>46112</v>
      </c>
      <c r="R646" s="17" t="str">
        <f>TEXT(B646,"dddd")</f>
        <v>Tuesday</v>
      </c>
    </row>
    <row r="647" spans="1:18">
      <c r="A647" s="5" t="s">
        <v>654</v>
      </c>
      <c r="B647" s="8">
        <v>46161</v>
      </c>
      <c r="C647" s="5" t="s">
        <v>979</v>
      </c>
      <c r="D647" s="5" t="s">
        <v>20</v>
      </c>
      <c r="E647" s="5" t="s">
        <v>9</v>
      </c>
      <c r="F647" s="5" t="s">
        <v>965</v>
      </c>
      <c r="G647" s="5">
        <v>4</v>
      </c>
      <c r="H647" s="5" t="s">
        <v>963</v>
      </c>
      <c r="I647" s="13">
        <v>519443333</v>
      </c>
      <c r="J647" s="10" t="s">
        <v>1630</v>
      </c>
      <c r="K647" t="str">
        <f>LEFT(C647,FIND(" ",C647)-1)&amp;"-"&amp;E647&amp;" "&amp;"Filialina çardırılma"</f>
        <v>Leyla-Gence Filialina çardırılma</v>
      </c>
      <c r="L647">
        <f>VLOOKUP(D647,Anbar!$A$2:$B$5,2,FALSE)</f>
        <v>15</v>
      </c>
      <c r="M647">
        <f>VLOOKUP(D647,Anbar!$A$2:$C$5,3,FALSE)</f>
        <v>45</v>
      </c>
      <c r="N647">
        <f t="shared" si="20"/>
        <v>180</v>
      </c>
      <c r="O647">
        <f t="shared" si="21"/>
        <v>120</v>
      </c>
      <c r="P647" t="str">
        <f>IF(AND(F647="Nağd",G647&gt;5),M647*0.9,"0%")</f>
        <v>0%</v>
      </c>
      <c r="Q647" s="9" t="str">
        <f>IF(F647="Kredit",EOMONTH(B647,0),"")</f>
        <v/>
      </c>
      <c r="R647" s="17" t="str">
        <f>TEXT(B647,"dddd")</f>
        <v>Tuesday</v>
      </c>
    </row>
    <row r="648" spans="1:18">
      <c r="A648" s="5" t="s">
        <v>655</v>
      </c>
      <c r="B648" s="8">
        <v>46126</v>
      </c>
      <c r="C648" s="5" t="s">
        <v>979</v>
      </c>
      <c r="D648" s="5" t="s">
        <v>20</v>
      </c>
      <c r="E648" s="5" t="s">
        <v>980</v>
      </c>
      <c r="F648" s="5" t="s">
        <v>965</v>
      </c>
      <c r="G648" s="5">
        <v>2</v>
      </c>
      <c r="H648" s="5" t="s">
        <v>963</v>
      </c>
      <c r="I648" s="13">
        <v>773574445</v>
      </c>
      <c r="J648" s="10" t="s">
        <v>1631</v>
      </c>
      <c r="K648" t="str">
        <f>LEFT(C648,FIND(" ",C648)-1)&amp;"-"&amp;E648&amp;" "&amp;"Filialina çardırılma"</f>
        <v>Leyla-Sumqayit Filialina çardırılma</v>
      </c>
      <c r="L648">
        <f>VLOOKUP(D648,Anbar!$A$2:$B$5,2,FALSE)</f>
        <v>15</v>
      </c>
      <c r="M648">
        <f>VLOOKUP(D648,Anbar!$A$2:$C$5,3,FALSE)</f>
        <v>45</v>
      </c>
      <c r="N648">
        <f t="shared" si="20"/>
        <v>90</v>
      </c>
      <c r="O648">
        <f t="shared" si="21"/>
        <v>60</v>
      </c>
      <c r="P648" t="str">
        <f>IF(AND(F648="Nağd",G648&gt;5),M648*0.9,"0%")</f>
        <v>0%</v>
      </c>
      <c r="Q648" s="9" t="str">
        <f>IF(F648="Kredit",EOMONTH(B648,0),"")</f>
        <v/>
      </c>
      <c r="R648" s="17" t="str">
        <f>TEXT(B648,"dddd")</f>
        <v>Tuesday</v>
      </c>
    </row>
    <row r="649" spans="1:18">
      <c r="A649" s="5" t="s">
        <v>656</v>
      </c>
      <c r="B649" s="8">
        <v>46165</v>
      </c>
      <c r="C649" s="5" t="s">
        <v>967</v>
      </c>
      <c r="D649" s="5" t="s">
        <v>15</v>
      </c>
      <c r="E649" s="5" t="s">
        <v>981</v>
      </c>
      <c r="F649" s="5" t="s">
        <v>965</v>
      </c>
      <c r="G649" s="5">
        <v>9</v>
      </c>
      <c r="H649" s="5" t="s">
        <v>963</v>
      </c>
      <c r="I649" s="13">
        <v>707684866</v>
      </c>
      <c r="J649" s="10" t="s">
        <v>1632</v>
      </c>
      <c r="K649" t="str">
        <f>LEFT(C649,FIND(" ",C649)-1)&amp;"-"&amp;E649&amp;" "&amp;"Filialina çardırılma"</f>
        <v>Aysel-Gəncə Filialina çardırılma</v>
      </c>
      <c r="L649">
        <f>VLOOKUP(D649,Anbar!$A$2:$B$5,2,FALSE)</f>
        <v>600</v>
      </c>
      <c r="M649">
        <f>VLOOKUP(D649,Anbar!$A$2:$C$5,3,FALSE)</f>
        <v>950</v>
      </c>
      <c r="N649">
        <f t="shared" si="20"/>
        <v>8550</v>
      </c>
      <c r="O649">
        <f t="shared" si="21"/>
        <v>3150</v>
      </c>
      <c r="P649">
        <f>IF(AND(F649="Nağd",G649&gt;5),M649*0.9,"0%")</f>
        <v>855</v>
      </c>
      <c r="Q649" s="9" t="str">
        <f>IF(F649="Kredit",EOMONTH(B649,0),"")</f>
        <v/>
      </c>
      <c r="R649" s="17" t="str">
        <f>TEXT(B649,"dddd")</f>
        <v>Saturday</v>
      </c>
    </row>
    <row r="650" spans="1:18">
      <c r="A650" s="5" t="s">
        <v>657</v>
      </c>
      <c r="B650" s="8">
        <v>46172</v>
      </c>
      <c r="C650" s="5" t="s">
        <v>6</v>
      </c>
      <c r="D650" s="5" t="s">
        <v>971</v>
      </c>
      <c r="E650" s="5" t="s">
        <v>9</v>
      </c>
      <c r="F650" s="5" t="s">
        <v>4</v>
      </c>
      <c r="G650" s="5">
        <v>9</v>
      </c>
      <c r="H650" s="5" t="s">
        <v>963</v>
      </c>
      <c r="I650" s="13">
        <v>558691304</v>
      </c>
      <c r="J650" s="10" t="s">
        <v>1633</v>
      </c>
      <c r="K650" t="str">
        <f>LEFT(C650,FIND(" ",C650)-1)&amp;"-"&amp;E650&amp;" "&amp;"Filialina çardırılma"</f>
        <v>Zaur-Gence Filialina çardırılma</v>
      </c>
      <c r="L650">
        <f>VLOOKUP(D650,Anbar!$A$2:$B$5,2,FALSE)</f>
        <v>1200</v>
      </c>
      <c r="M650">
        <f>VLOOKUP(D650,Anbar!$A$2:$C$5,3,FALSE)</f>
        <v>1800</v>
      </c>
      <c r="N650">
        <f t="shared" si="20"/>
        <v>16200</v>
      </c>
      <c r="O650">
        <f t="shared" si="21"/>
        <v>5400</v>
      </c>
      <c r="P650" t="str">
        <f>IF(AND(F650="Nağd",G650&gt;5),M650*0.9,"0%")</f>
        <v>0%</v>
      </c>
      <c r="Q650" s="9">
        <f>IF(F650="Kredit",EOMONTH(B650,0),"")</f>
        <v>46173</v>
      </c>
      <c r="R650" s="17" t="str">
        <f>TEXT(B650,"dddd")</f>
        <v>Saturday</v>
      </c>
    </row>
    <row r="651" spans="1:18">
      <c r="A651" s="5" t="s">
        <v>658</v>
      </c>
      <c r="B651" s="8">
        <v>46150</v>
      </c>
      <c r="C651" s="5" t="s">
        <v>975</v>
      </c>
      <c r="D651" s="5" t="s">
        <v>20</v>
      </c>
      <c r="E651" s="5" t="s">
        <v>980</v>
      </c>
      <c r="F651" s="5" t="s">
        <v>965</v>
      </c>
      <c r="G651" s="5">
        <v>9</v>
      </c>
      <c r="H651" s="5" t="s">
        <v>963</v>
      </c>
      <c r="I651" s="13">
        <v>514639005</v>
      </c>
      <c r="J651" s="10" t="s">
        <v>1634</v>
      </c>
      <c r="K651" t="str">
        <f>LEFT(C651,FIND(" ",C651)-1)&amp;"-"&amp;E651&amp;" "&amp;"Filialina çardırılma"</f>
        <v>Murad-Sumqayit Filialina çardırılma</v>
      </c>
      <c r="L651">
        <f>VLOOKUP(D651,Anbar!$A$2:$B$5,2,FALSE)</f>
        <v>15</v>
      </c>
      <c r="M651">
        <f>VLOOKUP(D651,Anbar!$A$2:$C$5,3,FALSE)</f>
        <v>45</v>
      </c>
      <c r="N651">
        <f t="shared" si="20"/>
        <v>405</v>
      </c>
      <c r="O651">
        <f t="shared" si="21"/>
        <v>270</v>
      </c>
      <c r="P651">
        <f>IF(AND(F651="Nağd",G651&gt;5),M651*0.9,"0%")</f>
        <v>40.5</v>
      </c>
      <c r="Q651" s="9" t="str">
        <f>IF(F651="Kredit",EOMONTH(B651,0),"")</f>
        <v/>
      </c>
      <c r="R651" s="17" t="str">
        <f>TEXT(B651,"dddd")</f>
        <v>Friday</v>
      </c>
    </row>
    <row r="652" spans="1:18">
      <c r="A652" s="5" t="s">
        <v>659</v>
      </c>
      <c r="B652" s="8">
        <v>46079</v>
      </c>
      <c r="C652" s="5" t="s">
        <v>977</v>
      </c>
      <c r="D652" s="5" t="s">
        <v>971</v>
      </c>
      <c r="E652" s="5" t="s">
        <v>9</v>
      </c>
      <c r="F652" s="5" t="s">
        <v>965</v>
      </c>
      <c r="G652" s="5">
        <v>6</v>
      </c>
      <c r="H652" s="5" t="s">
        <v>963</v>
      </c>
      <c r="I652" s="13">
        <v>700839724</v>
      </c>
      <c r="J652" s="10" t="s">
        <v>1635</v>
      </c>
      <c r="K652" t="str">
        <f>LEFT(C652,FIND(" ",C652)-1)&amp;"-"&amp;E652&amp;" "&amp;"Filialina çardırılma"</f>
        <v>Elnur-Gence Filialina çardırılma</v>
      </c>
      <c r="L652">
        <f>VLOOKUP(D652,Anbar!$A$2:$B$5,2,FALSE)</f>
        <v>1200</v>
      </c>
      <c r="M652">
        <f>VLOOKUP(D652,Anbar!$A$2:$C$5,3,FALSE)</f>
        <v>1800</v>
      </c>
      <c r="N652">
        <f t="shared" si="20"/>
        <v>10800</v>
      </c>
      <c r="O652">
        <f t="shared" si="21"/>
        <v>3600</v>
      </c>
      <c r="P652">
        <f>IF(AND(F652="Nağd",G652&gt;5),M652*0.9,"0%")</f>
        <v>1620</v>
      </c>
      <c r="Q652" s="9" t="str">
        <f>IF(F652="Kredit",EOMONTH(B652,0),"")</f>
        <v/>
      </c>
      <c r="R652" s="17" t="str">
        <f>TEXT(B652,"dddd")</f>
        <v>Thursday</v>
      </c>
    </row>
    <row r="653" spans="1:18">
      <c r="A653" s="5" t="s">
        <v>660</v>
      </c>
      <c r="B653" s="8">
        <v>46171</v>
      </c>
      <c r="C653" s="5" t="s">
        <v>975</v>
      </c>
      <c r="D653" s="5" t="s">
        <v>968</v>
      </c>
      <c r="E653" s="5" t="s">
        <v>966</v>
      </c>
      <c r="F653" s="5" t="s">
        <v>4</v>
      </c>
      <c r="G653" s="5">
        <v>4</v>
      </c>
      <c r="H653" s="5" t="s">
        <v>963</v>
      </c>
      <c r="I653" s="13">
        <v>703356253</v>
      </c>
      <c r="J653" s="10" t="s">
        <v>1636</v>
      </c>
      <c r="K653" t="str">
        <f>LEFT(C653,FIND(" ",C653)-1)&amp;"-"&amp;E653&amp;" "&amp;"Filialina çardırılma"</f>
        <v>Murad-Bakı Filialina çardırılma</v>
      </c>
      <c r="L653">
        <f>VLOOKUP(D653,Anbar!$A$2:$B$5,2,FALSE)</f>
        <v>400</v>
      </c>
      <c r="M653">
        <f>VLOOKUP(D653,Anbar!$A$2:$C$5,3,FALSE)</f>
        <v>650</v>
      </c>
      <c r="N653">
        <f t="shared" si="20"/>
        <v>2600</v>
      </c>
      <c r="O653">
        <f t="shared" si="21"/>
        <v>1000</v>
      </c>
      <c r="P653" t="str">
        <f>IF(AND(F653="Nağd",G653&gt;5),M653*0.9,"0%")</f>
        <v>0%</v>
      </c>
      <c r="Q653" s="9">
        <f>IF(F653="Kredit",EOMONTH(B653,0),"")</f>
        <v>46173</v>
      </c>
      <c r="R653" s="17" t="str">
        <f>TEXT(B653,"dddd")</f>
        <v>Friday</v>
      </c>
    </row>
    <row r="654" spans="1:18">
      <c r="A654" s="5" t="s">
        <v>661</v>
      </c>
      <c r="B654" s="8">
        <v>46170</v>
      </c>
      <c r="C654" s="5" t="s">
        <v>979</v>
      </c>
      <c r="D654" s="5" t="s">
        <v>15</v>
      </c>
      <c r="E654" s="5" t="s">
        <v>9</v>
      </c>
      <c r="F654" s="5" t="s">
        <v>965</v>
      </c>
      <c r="G654" s="5">
        <v>10</v>
      </c>
      <c r="H654" s="5" t="s">
        <v>963</v>
      </c>
      <c r="I654" s="13">
        <v>778228646</v>
      </c>
      <c r="J654" s="10" t="s">
        <v>1637</v>
      </c>
      <c r="K654" t="str">
        <f>LEFT(C654,FIND(" ",C654)-1)&amp;"-"&amp;E654&amp;" "&amp;"Filialina çardırılma"</f>
        <v>Leyla-Gence Filialina çardırılma</v>
      </c>
      <c r="L654">
        <f>VLOOKUP(D654,Anbar!$A$2:$B$5,2,FALSE)</f>
        <v>600</v>
      </c>
      <c r="M654">
        <f>VLOOKUP(D654,Anbar!$A$2:$C$5,3,FALSE)</f>
        <v>950</v>
      </c>
      <c r="N654">
        <f t="shared" si="20"/>
        <v>9500</v>
      </c>
      <c r="O654">
        <f t="shared" si="21"/>
        <v>3500</v>
      </c>
      <c r="P654">
        <f>IF(AND(F654="Nağd",G654&gt;5),M654*0.9,"0%")</f>
        <v>855</v>
      </c>
      <c r="Q654" s="9" t="str">
        <f>IF(F654="Kredit",EOMONTH(B654,0),"")</f>
        <v/>
      </c>
      <c r="R654" s="17" t="str">
        <f>TEXT(B654,"dddd")</f>
        <v>Thursday</v>
      </c>
    </row>
    <row r="655" spans="1:18">
      <c r="A655" s="5" t="s">
        <v>662</v>
      </c>
      <c r="B655" s="8">
        <v>46170</v>
      </c>
      <c r="C655" s="5" t="s">
        <v>979</v>
      </c>
      <c r="D655" s="5" t="s">
        <v>971</v>
      </c>
      <c r="E655" s="5" t="s">
        <v>982</v>
      </c>
      <c r="F655" s="5" t="s">
        <v>965</v>
      </c>
      <c r="G655" s="5">
        <v>2</v>
      </c>
      <c r="H655" s="5" t="s">
        <v>963</v>
      </c>
      <c r="I655" s="13">
        <v>518821392</v>
      </c>
      <c r="J655" s="10" t="s">
        <v>1638</v>
      </c>
      <c r="K655" t="str">
        <f>LEFT(C655,FIND(" ",C655)-1)&amp;"-"&amp;E655&amp;" "&amp;"Filialina çardırılma"</f>
        <v>Leyla-Baki Filialina çardırılma</v>
      </c>
      <c r="L655">
        <f>VLOOKUP(D655,Anbar!$A$2:$B$5,2,FALSE)</f>
        <v>1200</v>
      </c>
      <c r="M655">
        <f>VLOOKUP(D655,Anbar!$A$2:$C$5,3,FALSE)</f>
        <v>1800</v>
      </c>
      <c r="N655">
        <f t="shared" si="20"/>
        <v>3600</v>
      </c>
      <c r="O655">
        <f t="shared" si="21"/>
        <v>1200</v>
      </c>
      <c r="P655" t="str">
        <f>IF(AND(F655="Nağd",G655&gt;5),M655*0.9,"0%")</f>
        <v>0%</v>
      </c>
      <c r="Q655" s="9" t="str">
        <f>IF(F655="Kredit",EOMONTH(B655,0),"")</f>
        <v/>
      </c>
      <c r="R655" s="17" t="str">
        <f>TEXT(B655,"dddd")</f>
        <v>Thursday</v>
      </c>
    </row>
    <row r="656" spans="1:18">
      <c r="A656" s="5" t="s">
        <v>663</v>
      </c>
      <c r="B656" s="8">
        <v>46041</v>
      </c>
      <c r="C656" s="5" t="s">
        <v>979</v>
      </c>
      <c r="D656" s="5" t="s">
        <v>968</v>
      </c>
      <c r="E656" s="5" t="s">
        <v>964</v>
      </c>
      <c r="F656" s="5" t="s">
        <v>965</v>
      </c>
      <c r="G656" s="5">
        <v>7</v>
      </c>
      <c r="H656" s="5" t="s">
        <v>963</v>
      </c>
      <c r="I656" s="13">
        <v>513345524</v>
      </c>
      <c r="J656" s="10" t="s">
        <v>1639</v>
      </c>
      <c r="K656" t="str">
        <f>LEFT(C656,FIND(" ",C656)-1)&amp;"-"&amp;E656&amp;" "&amp;"Filialina çardırılma"</f>
        <v>Leyla-Sumqayıt Filialina çardırılma</v>
      </c>
      <c r="L656">
        <f>VLOOKUP(D656,Anbar!$A$2:$B$5,2,FALSE)</f>
        <v>400</v>
      </c>
      <c r="M656">
        <f>VLOOKUP(D656,Anbar!$A$2:$C$5,3,FALSE)</f>
        <v>650</v>
      </c>
      <c r="N656">
        <f t="shared" si="20"/>
        <v>4550</v>
      </c>
      <c r="O656">
        <f t="shared" si="21"/>
        <v>1750</v>
      </c>
      <c r="P656">
        <f>IF(AND(F656="Nağd",G656&gt;5),M656*0.9,"0%")</f>
        <v>585</v>
      </c>
      <c r="Q656" s="9" t="str">
        <f>IF(F656="Kredit",EOMONTH(B656,0),"")</f>
        <v/>
      </c>
      <c r="R656" s="17" t="str">
        <f>TEXT(B656,"dddd")</f>
        <v>Monday</v>
      </c>
    </row>
    <row r="657" spans="1:18">
      <c r="A657" s="5" t="s">
        <v>664</v>
      </c>
      <c r="B657" s="8">
        <v>46161</v>
      </c>
      <c r="C657" s="5" t="s">
        <v>967</v>
      </c>
      <c r="D657" s="5" t="s">
        <v>20</v>
      </c>
      <c r="E657" s="5" t="s">
        <v>982</v>
      </c>
      <c r="F657" s="5" t="s">
        <v>7</v>
      </c>
      <c r="G657" s="5">
        <v>6</v>
      </c>
      <c r="H657" s="5" t="s">
        <v>963</v>
      </c>
      <c r="I657" s="13">
        <v>517442502</v>
      </c>
      <c r="J657" s="10" t="s">
        <v>1640</v>
      </c>
      <c r="K657" t="str">
        <f>LEFT(C657,FIND(" ",C657)-1)&amp;"-"&amp;E657&amp;" "&amp;"Filialina çardırılma"</f>
        <v>Aysel-Baki Filialina çardırılma</v>
      </c>
      <c r="L657">
        <f>VLOOKUP(D657,Anbar!$A$2:$B$5,2,FALSE)</f>
        <v>15</v>
      </c>
      <c r="M657">
        <f>VLOOKUP(D657,Anbar!$A$2:$C$5,3,FALSE)</f>
        <v>45</v>
      </c>
      <c r="N657">
        <f t="shared" si="20"/>
        <v>270</v>
      </c>
      <c r="O657">
        <f t="shared" si="21"/>
        <v>180</v>
      </c>
      <c r="P657" t="str">
        <f>IF(AND(F657="Nağd",G657&gt;5),M657*0.9,"0%")</f>
        <v>0%</v>
      </c>
      <c r="Q657" s="9" t="str">
        <f>IF(F657="Kredit",EOMONTH(B657,0),"")</f>
        <v/>
      </c>
      <c r="R657" s="17" t="str">
        <f>TEXT(B657,"dddd")</f>
        <v>Tuesday</v>
      </c>
    </row>
    <row r="658" spans="1:18">
      <c r="A658" s="5" t="s">
        <v>665</v>
      </c>
      <c r="B658" s="8">
        <v>46156</v>
      </c>
      <c r="C658" s="5" t="s">
        <v>6</v>
      </c>
      <c r="D658" s="5" t="s">
        <v>15</v>
      </c>
      <c r="E658" s="5" t="s">
        <v>964</v>
      </c>
      <c r="F658" s="5" t="s">
        <v>965</v>
      </c>
      <c r="G658" s="5">
        <v>3</v>
      </c>
      <c r="H658" s="5" t="s">
        <v>963</v>
      </c>
      <c r="I658" s="13">
        <v>509390950</v>
      </c>
      <c r="J658" s="10" t="s">
        <v>1641</v>
      </c>
      <c r="K658" t="str">
        <f>LEFT(C658,FIND(" ",C658)-1)&amp;"-"&amp;E658&amp;" "&amp;"Filialina çardırılma"</f>
        <v>Zaur-Sumqayıt Filialina çardırılma</v>
      </c>
      <c r="L658">
        <f>VLOOKUP(D658,Anbar!$A$2:$B$5,2,FALSE)</f>
        <v>600</v>
      </c>
      <c r="M658">
        <f>VLOOKUP(D658,Anbar!$A$2:$C$5,3,FALSE)</f>
        <v>950</v>
      </c>
      <c r="N658">
        <f t="shared" si="20"/>
        <v>2850</v>
      </c>
      <c r="O658">
        <f t="shared" si="21"/>
        <v>1050</v>
      </c>
      <c r="P658" t="str">
        <f>IF(AND(F658="Nağd",G658&gt;5),M658*0.9,"0%")</f>
        <v>0%</v>
      </c>
      <c r="Q658" s="9" t="str">
        <f>IF(F658="Kredit",EOMONTH(B658,0),"")</f>
        <v/>
      </c>
      <c r="R658" s="17" t="str">
        <f>TEXT(B658,"dddd")</f>
        <v>Thursday</v>
      </c>
    </row>
    <row r="659" spans="1:18">
      <c r="A659" s="5" t="s">
        <v>666</v>
      </c>
      <c r="B659" s="8">
        <v>46088</v>
      </c>
      <c r="C659" s="5" t="s">
        <v>6</v>
      </c>
      <c r="D659" s="5" t="s">
        <v>20</v>
      </c>
      <c r="E659" s="5" t="s">
        <v>982</v>
      </c>
      <c r="F659" s="5" t="s">
        <v>7</v>
      </c>
      <c r="G659" s="5">
        <v>3</v>
      </c>
      <c r="H659" s="5" t="s">
        <v>963</v>
      </c>
      <c r="I659" s="13">
        <v>502450573</v>
      </c>
      <c r="J659" s="10" t="s">
        <v>1642</v>
      </c>
      <c r="K659" t="str">
        <f>LEFT(C659,FIND(" ",C659)-1)&amp;"-"&amp;E659&amp;" "&amp;"Filialina çardırılma"</f>
        <v>Zaur-Baki Filialina çardırılma</v>
      </c>
      <c r="L659">
        <f>VLOOKUP(D659,Anbar!$A$2:$B$5,2,FALSE)</f>
        <v>15</v>
      </c>
      <c r="M659">
        <f>VLOOKUP(D659,Anbar!$A$2:$C$5,3,FALSE)</f>
        <v>45</v>
      </c>
      <c r="N659">
        <f t="shared" si="20"/>
        <v>135</v>
      </c>
      <c r="O659">
        <f t="shared" si="21"/>
        <v>90</v>
      </c>
      <c r="P659" t="str">
        <f>IF(AND(F659="Nağd",G659&gt;5),M659*0.9,"0%")</f>
        <v>0%</v>
      </c>
      <c r="Q659" s="9" t="str">
        <f>IF(F659="Kredit",EOMONTH(B659,0),"")</f>
        <v/>
      </c>
      <c r="R659" s="17" t="str">
        <f>TEXT(B659,"dddd")</f>
        <v>Saturday</v>
      </c>
    </row>
    <row r="660" spans="1:18">
      <c r="A660" s="5" t="s">
        <v>667</v>
      </c>
      <c r="B660" s="8">
        <v>46106</v>
      </c>
      <c r="C660" s="5" t="s">
        <v>975</v>
      </c>
      <c r="D660" s="5" t="s">
        <v>20</v>
      </c>
      <c r="E660" s="5" t="s">
        <v>980</v>
      </c>
      <c r="F660" s="5" t="s">
        <v>965</v>
      </c>
      <c r="G660" s="5">
        <v>1</v>
      </c>
      <c r="H660" s="5" t="s">
        <v>963</v>
      </c>
      <c r="I660" s="13">
        <v>518247216</v>
      </c>
      <c r="J660" s="10" t="s">
        <v>1643</v>
      </c>
      <c r="K660" t="str">
        <f>LEFT(C660,FIND(" ",C660)-1)&amp;"-"&amp;E660&amp;" "&amp;"Filialina çardırılma"</f>
        <v>Murad-Sumqayit Filialina çardırılma</v>
      </c>
      <c r="L660">
        <f>VLOOKUP(D660,Anbar!$A$2:$B$5,2,FALSE)</f>
        <v>15</v>
      </c>
      <c r="M660">
        <f>VLOOKUP(D660,Anbar!$A$2:$C$5,3,FALSE)</f>
        <v>45</v>
      </c>
      <c r="N660">
        <f t="shared" si="20"/>
        <v>45</v>
      </c>
      <c r="O660">
        <f t="shared" si="21"/>
        <v>30</v>
      </c>
      <c r="P660" t="str">
        <f>IF(AND(F660="Nağd",G660&gt;5),M660*0.9,"0%")</f>
        <v>0%</v>
      </c>
      <c r="Q660" s="9" t="str">
        <f>IF(F660="Kredit",EOMONTH(B660,0),"")</f>
        <v/>
      </c>
      <c r="R660" s="17" t="str">
        <f>TEXT(B660,"dddd")</f>
        <v>Wednesday</v>
      </c>
    </row>
    <row r="661" spans="1:18">
      <c r="A661" s="5" t="s">
        <v>668</v>
      </c>
      <c r="B661" s="8">
        <v>46086</v>
      </c>
      <c r="C661" s="5" t="s">
        <v>967</v>
      </c>
      <c r="D661" s="5" t="s">
        <v>968</v>
      </c>
      <c r="E661" s="5" t="s">
        <v>981</v>
      </c>
      <c r="F661" s="5" t="s">
        <v>983</v>
      </c>
      <c r="G661" s="5">
        <v>10</v>
      </c>
      <c r="H661" s="5" t="s">
        <v>963</v>
      </c>
      <c r="I661" s="13">
        <v>700666501</v>
      </c>
      <c r="J661" s="10" t="s">
        <v>1644</v>
      </c>
      <c r="K661" t="str">
        <f>LEFT(C661,FIND(" ",C661)-1)&amp;"-"&amp;E661&amp;" "&amp;"Filialina çardırılma"</f>
        <v>Aysel-Gəncə Filialina çardırılma</v>
      </c>
      <c r="L661">
        <f>VLOOKUP(D661,Anbar!$A$2:$B$5,2,FALSE)</f>
        <v>400</v>
      </c>
      <c r="M661">
        <f>VLOOKUP(D661,Anbar!$A$2:$C$5,3,FALSE)</f>
        <v>650</v>
      </c>
      <c r="N661">
        <f t="shared" si="20"/>
        <v>6500</v>
      </c>
      <c r="O661">
        <f t="shared" si="21"/>
        <v>2500</v>
      </c>
      <c r="P661" t="str">
        <f>IF(AND(F661="Nağd",G661&gt;5),M661*0.9,"0%")</f>
        <v>0%</v>
      </c>
      <c r="Q661" s="9" t="str">
        <f>IF(F661="Kredit",EOMONTH(B661,0),"")</f>
        <v/>
      </c>
      <c r="R661" s="17" t="str">
        <f>TEXT(B661,"dddd")</f>
        <v>Thursday</v>
      </c>
    </row>
    <row r="662" spans="1:18">
      <c r="A662" s="5" t="s">
        <v>669</v>
      </c>
      <c r="B662" s="8">
        <v>46131</v>
      </c>
      <c r="C662" s="5" t="s">
        <v>978</v>
      </c>
      <c r="D662" s="5" t="s">
        <v>971</v>
      </c>
      <c r="E662" s="5" t="s">
        <v>982</v>
      </c>
      <c r="F662" s="5" t="s">
        <v>4</v>
      </c>
      <c r="G662" s="5">
        <v>3</v>
      </c>
      <c r="H662" s="5" t="s">
        <v>963</v>
      </c>
      <c r="I662" s="13">
        <v>706117186</v>
      </c>
      <c r="J662" s="10" t="s">
        <v>1645</v>
      </c>
      <c r="K662" t="str">
        <f>LEFT(C662,FIND(" ",C662)-1)&amp;"-"&amp;E662&amp;" "&amp;"Filialina çardırılma"</f>
        <v>Əli-Baki Filialina çardırılma</v>
      </c>
      <c r="L662">
        <f>VLOOKUP(D662,Anbar!$A$2:$B$5,2,FALSE)</f>
        <v>1200</v>
      </c>
      <c r="M662">
        <f>VLOOKUP(D662,Anbar!$A$2:$C$5,3,FALSE)</f>
        <v>1800</v>
      </c>
      <c r="N662">
        <f t="shared" si="20"/>
        <v>5400</v>
      </c>
      <c r="O662">
        <f t="shared" si="21"/>
        <v>1800</v>
      </c>
      <c r="P662" t="str">
        <f>IF(AND(F662="Nağd",G662&gt;5),M662*0.9,"0%")</f>
        <v>0%</v>
      </c>
      <c r="Q662" s="9">
        <f>IF(F662="Kredit",EOMONTH(B662,0),"")</f>
        <v>46142</v>
      </c>
      <c r="R662" s="17" t="str">
        <f>TEXT(B662,"dddd")</f>
        <v>Sunday</v>
      </c>
    </row>
    <row r="663" spans="1:18">
      <c r="A663" s="5" t="s">
        <v>670</v>
      </c>
      <c r="B663" s="8">
        <v>46108</v>
      </c>
      <c r="C663" s="5" t="s">
        <v>975</v>
      </c>
      <c r="D663" s="5" t="s">
        <v>968</v>
      </c>
      <c r="E663" s="5" t="s">
        <v>964</v>
      </c>
      <c r="F663" s="5" t="s">
        <v>965</v>
      </c>
      <c r="G663" s="5">
        <v>7</v>
      </c>
      <c r="H663" s="5" t="s">
        <v>963</v>
      </c>
      <c r="I663" s="13">
        <v>559976520</v>
      </c>
      <c r="J663" s="10" t="s">
        <v>1646</v>
      </c>
      <c r="K663" t="str">
        <f>LEFT(C663,FIND(" ",C663)-1)&amp;"-"&amp;E663&amp;" "&amp;"Filialina çardırılma"</f>
        <v>Murad-Sumqayıt Filialina çardırılma</v>
      </c>
      <c r="L663">
        <f>VLOOKUP(D663,Anbar!$A$2:$B$5,2,FALSE)</f>
        <v>400</v>
      </c>
      <c r="M663">
        <f>VLOOKUP(D663,Anbar!$A$2:$C$5,3,FALSE)</f>
        <v>650</v>
      </c>
      <c r="N663">
        <f t="shared" si="20"/>
        <v>4550</v>
      </c>
      <c r="O663">
        <f t="shared" si="21"/>
        <v>1750</v>
      </c>
      <c r="P663">
        <f>IF(AND(F663="Nağd",G663&gt;5),M663*0.9,"0%")</f>
        <v>585</v>
      </c>
      <c r="Q663" s="9" t="str">
        <f>IF(F663="Kredit",EOMONTH(B663,0),"")</f>
        <v/>
      </c>
      <c r="R663" s="17" t="str">
        <f>TEXT(B663,"dddd")</f>
        <v>Friday</v>
      </c>
    </row>
    <row r="664" spans="1:18">
      <c r="A664" s="5" t="s">
        <v>671</v>
      </c>
      <c r="B664" s="8">
        <v>46050</v>
      </c>
      <c r="C664" s="5" t="s">
        <v>976</v>
      </c>
      <c r="D664" s="5" t="s">
        <v>15</v>
      </c>
      <c r="E664" s="5" t="s">
        <v>982</v>
      </c>
      <c r="F664" s="5" t="s">
        <v>7</v>
      </c>
      <c r="G664" s="5">
        <v>7</v>
      </c>
      <c r="H664" s="5" t="s">
        <v>963</v>
      </c>
      <c r="I664" s="13">
        <v>507019667</v>
      </c>
      <c r="J664" s="10" t="s">
        <v>1647</v>
      </c>
      <c r="K664" t="str">
        <f>LEFT(C664,FIND(" ",C664)-1)&amp;"-"&amp;E664&amp;" "&amp;"Filialina çardırılma"</f>
        <v>Nərgin-Baki Filialina çardırılma</v>
      </c>
      <c r="L664">
        <f>VLOOKUP(D664,Anbar!$A$2:$B$5,2,FALSE)</f>
        <v>600</v>
      </c>
      <c r="M664">
        <f>VLOOKUP(D664,Anbar!$A$2:$C$5,3,FALSE)</f>
        <v>950</v>
      </c>
      <c r="N664">
        <f t="shared" si="20"/>
        <v>6650</v>
      </c>
      <c r="O664">
        <f t="shared" si="21"/>
        <v>2450</v>
      </c>
      <c r="P664" t="str">
        <f>IF(AND(F664="Nağd",G664&gt;5),M664*0.9,"0%")</f>
        <v>0%</v>
      </c>
      <c r="Q664" s="9" t="str">
        <f>IF(F664="Kredit",EOMONTH(B664,0),"")</f>
        <v/>
      </c>
      <c r="R664" s="17" t="str">
        <f>TEXT(B664,"dddd")</f>
        <v>Wednesday</v>
      </c>
    </row>
    <row r="665" spans="1:18">
      <c r="A665" s="5" t="s">
        <v>672</v>
      </c>
      <c r="B665" s="8">
        <v>46120</v>
      </c>
      <c r="C665" s="5" t="s">
        <v>979</v>
      </c>
      <c r="D665" s="5" t="s">
        <v>971</v>
      </c>
      <c r="E665" s="5" t="s">
        <v>9</v>
      </c>
      <c r="F665" s="5" t="s">
        <v>965</v>
      </c>
      <c r="G665" s="5">
        <v>6</v>
      </c>
      <c r="H665" s="5" t="s">
        <v>963</v>
      </c>
      <c r="I665" s="13">
        <v>778116255</v>
      </c>
      <c r="J665" s="10" t="s">
        <v>1648</v>
      </c>
      <c r="K665" t="str">
        <f>LEFT(C665,FIND(" ",C665)-1)&amp;"-"&amp;E665&amp;" "&amp;"Filialina çardırılma"</f>
        <v>Leyla-Gence Filialina çardırılma</v>
      </c>
      <c r="L665">
        <f>VLOOKUP(D665,Anbar!$A$2:$B$5,2,FALSE)</f>
        <v>1200</v>
      </c>
      <c r="M665">
        <f>VLOOKUP(D665,Anbar!$A$2:$C$5,3,FALSE)</f>
        <v>1800</v>
      </c>
      <c r="N665">
        <f t="shared" si="20"/>
        <v>10800</v>
      </c>
      <c r="O665">
        <f t="shared" si="21"/>
        <v>3600</v>
      </c>
      <c r="P665">
        <f>IF(AND(F665="Nağd",G665&gt;5),M665*0.9,"0%")</f>
        <v>1620</v>
      </c>
      <c r="Q665" s="9" t="str">
        <f>IF(F665="Kredit",EOMONTH(B665,0),"")</f>
        <v/>
      </c>
      <c r="R665" s="17" t="str">
        <f>TEXT(B665,"dddd")</f>
        <v>Wednesday</v>
      </c>
    </row>
    <row r="666" spans="1:18">
      <c r="A666" s="5" t="s">
        <v>673</v>
      </c>
      <c r="B666" s="8">
        <v>46112</v>
      </c>
      <c r="C666" s="5" t="s">
        <v>976</v>
      </c>
      <c r="D666" s="5" t="s">
        <v>968</v>
      </c>
      <c r="E666" s="5" t="s">
        <v>983</v>
      </c>
      <c r="F666" s="5" t="s">
        <v>7</v>
      </c>
      <c r="G666" s="5">
        <v>7</v>
      </c>
      <c r="H666" s="5" t="s">
        <v>963</v>
      </c>
      <c r="I666" s="13">
        <v>509108749</v>
      </c>
      <c r="J666" s="10" t="s">
        <v>1649</v>
      </c>
      <c r="K666" t="str">
        <f>LEFT(C666,FIND(" ",C666)-1)&amp;"-"&amp;E666&amp;" "&amp;"Filialina çardırılma"</f>
        <v>Nərgin-Naməlum Filialina çardırılma</v>
      </c>
      <c r="L666">
        <f>VLOOKUP(D666,Anbar!$A$2:$B$5,2,FALSE)</f>
        <v>400</v>
      </c>
      <c r="M666">
        <f>VLOOKUP(D666,Anbar!$A$2:$C$5,3,FALSE)</f>
        <v>650</v>
      </c>
      <c r="N666">
        <f t="shared" si="20"/>
        <v>4550</v>
      </c>
      <c r="O666">
        <f t="shared" si="21"/>
        <v>1750</v>
      </c>
      <c r="P666" t="str">
        <f>IF(AND(F666="Nağd",G666&gt;5),M666*0.9,"0%")</f>
        <v>0%</v>
      </c>
      <c r="Q666" s="9" t="str">
        <f>IF(F666="Kredit",EOMONTH(B666,0),"")</f>
        <v/>
      </c>
      <c r="R666" s="17" t="str">
        <f>TEXT(B666,"dddd")</f>
        <v>Tuesday</v>
      </c>
    </row>
    <row r="667" spans="1:18">
      <c r="A667" s="5" t="s">
        <v>674</v>
      </c>
      <c r="B667" s="8">
        <v>46095</v>
      </c>
      <c r="C667" s="5" t="s">
        <v>978</v>
      </c>
      <c r="D667" s="5" t="s">
        <v>20</v>
      </c>
      <c r="E667" s="5" t="s">
        <v>966</v>
      </c>
      <c r="F667" s="5" t="s">
        <v>4</v>
      </c>
      <c r="G667" s="5">
        <v>1</v>
      </c>
      <c r="H667" s="5" t="s">
        <v>963</v>
      </c>
      <c r="I667" s="13">
        <v>552709355</v>
      </c>
      <c r="J667" s="10" t="s">
        <v>1650</v>
      </c>
      <c r="K667" t="str">
        <f>LEFT(C667,FIND(" ",C667)-1)&amp;"-"&amp;E667&amp;" "&amp;"Filialina çardırılma"</f>
        <v>Əli-Bakı Filialina çardırılma</v>
      </c>
      <c r="L667">
        <f>VLOOKUP(D667,Anbar!$A$2:$B$5,2,FALSE)</f>
        <v>15</v>
      </c>
      <c r="M667">
        <f>VLOOKUP(D667,Anbar!$A$2:$C$5,3,FALSE)</f>
        <v>45</v>
      </c>
      <c r="N667">
        <f t="shared" si="20"/>
        <v>45</v>
      </c>
      <c r="O667">
        <f t="shared" si="21"/>
        <v>30</v>
      </c>
      <c r="P667" t="str">
        <f>IF(AND(F667="Nağd",G667&gt;5),M667*0.9,"0%")</f>
        <v>0%</v>
      </c>
      <c r="Q667" s="9">
        <f>IF(F667="Kredit",EOMONTH(B667,0),"")</f>
        <v>46112</v>
      </c>
      <c r="R667" s="17" t="str">
        <f>TEXT(B667,"dddd")</f>
        <v>Saturday</v>
      </c>
    </row>
    <row r="668" spans="1:18">
      <c r="A668" s="5" t="s">
        <v>675</v>
      </c>
      <c r="B668" s="8">
        <v>46150</v>
      </c>
      <c r="C668" s="5" t="s">
        <v>967</v>
      </c>
      <c r="D668" s="5" t="s">
        <v>15</v>
      </c>
      <c r="E668" s="5" t="s">
        <v>966</v>
      </c>
      <c r="F668" s="5" t="s">
        <v>4</v>
      </c>
      <c r="G668" s="5">
        <v>5</v>
      </c>
      <c r="H668" s="5" t="s">
        <v>963</v>
      </c>
      <c r="I668" s="13">
        <v>556415866</v>
      </c>
      <c r="J668" s="10" t="s">
        <v>1651</v>
      </c>
      <c r="K668" t="str">
        <f>LEFT(C668,FIND(" ",C668)-1)&amp;"-"&amp;E668&amp;" "&amp;"Filialina çardırılma"</f>
        <v>Aysel-Bakı Filialina çardırılma</v>
      </c>
      <c r="L668">
        <f>VLOOKUP(D668,Anbar!$A$2:$B$5,2,FALSE)</f>
        <v>600</v>
      </c>
      <c r="M668">
        <f>VLOOKUP(D668,Anbar!$A$2:$C$5,3,FALSE)</f>
        <v>950</v>
      </c>
      <c r="N668">
        <f t="shared" si="20"/>
        <v>4750</v>
      </c>
      <c r="O668">
        <f t="shared" si="21"/>
        <v>1750</v>
      </c>
      <c r="P668" t="str">
        <f>IF(AND(F668="Nağd",G668&gt;5),M668*0.9,"0%")</f>
        <v>0%</v>
      </c>
      <c r="Q668" s="9">
        <f>IF(F668="Kredit",EOMONTH(B668,0),"")</f>
        <v>46173</v>
      </c>
      <c r="R668" s="17" t="str">
        <f>TEXT(B668,"dddd")</f>
        <v>Friday</v>
      </c>
    </row>
    <row r="669" spans="1:18">
      <c r="A669" s="5" t="s">
        <v>676</v>
      </c>
      <c r="B669" s="8">
        <v>46135</v>
      </c>
      <c r="C669" s="5" t="s">
        <v>978</v>
      </c>
      <c r="D669" s="5" t="s">
        <v>968</v>
      </c>
      <c r="E669" s="5" t="s">
        <v>981</v>
      </c>
      <c r="F669" s="5" t="s">
        <v>4</v>
      </c>
      <c r="G669" s="5">
        <v>3</v>
      </c>
      <c r="H669" s="5" t="s">
        <v>963</v>
      </c>
      <c r="I669" s="13">
        <v>771109719</v>
      </c>
      <c r="J669" s="10" t="s">
        <v>1652</v>
      </c>
      <c r="K669" t="str">
        <f>LEFT(C669,FIND(" ",C669)-1)&amp;"-"&amp;E669&amp;" "&amp;"Filialina çardırılma"</f>
        <v>Əli-Gəncə Filialina çardırılma</v>
      </c>
      <c r="L669">
        <f>VLOOKUP(D669,Anbar!$A$2:$B$5,2,FALSE)</f>
        <v>400</v>
      </c>
      <c r="M669">
        <f>VLOOKUP(D669,Anbar!$A$2:$C$5,3,FALSE)</f>
        <v>650</v>
      </c>
      <c r="N669">
        <f t="shared" si="20"/>
        <v>1950</v>
      </c>
      <c r="O669">
        <f t="shared" si="21"/>
        <v>750</v>
      </c>
      <c r="P669" t="str">
        <f>IF(AND(F669="Nağd",G669&gt;5),M669*0.9,"0%")</f>
        <v>0%</v>
      </c>
      <c r="Q669" s="9">
        <f>IF(F669="Kredit",EOMONTH(B669,0),"")</f>
        <v>46142</v>
      </c>
      <c r="R669" s="17" t="str">
        <f>TEXT(B669,"dddd")</f>
        <v>Thursday</v>
      </c>
    </row>
    <row r="670" spans="1:18">
      <c r="A670" s="5" t="s">
        <v>677</v>
      </c>
      <c r="B670" s="8">
        <v>46056</v>
      </c>
      <c r="C670" s="5" t="s">
        <v>976</v>
      </c>
      <c r="D670" s="5" t="s">
        <v>20</v>
      </c>
      <c r="E670" s="5" t="s">
        <v>982</v>
      </c>
      <c r="F670" s="5" t="s">
        <v>7</v>
      </c>
      <c r="G670" s="5">
        <v>4</v>
      </c>
      <c r="H670" s="5" t="s">
        <v>963</v>
      </c>
      <c r="I670" s="13">
        <v>550478332</v>
      </c>
      <c r="J670" s="10" t="s">
        <v>1653</v>
      </c>
      <c r="K670" t="str">
        <f>LEFT(C670,FIND(" ",C670)-1)&amp;"-"&amp;E670&amp;" "&amp;"Filialina çardırılma"</f>
        <v>Nərgin-Baki Filialina çardırılma</v>
      </c>
      <c r="L670">
        <f>VLOOKUP(D670,Anbar!$A$2:$B$5,2,FALSE)</f>
        <v>15</v>
      </c>
      <c r="M670">
        <f>VLOOKUP(D670,Anbar!$A$2:$C$5,3,FALSE)</f>
        <v>45</v>
      </c>
      <c r="N670">
        <f t="shared" si="20"/>
        <v>180</v>
      </c>
      <c r="O670">
        <f t="shared" si="21"/>
        <v>120</v>
      </c>
      <c r="P670" t="str">
        <f>IF(AND(F670="Nağd",G670&gt;5),M670*0.9,"0%")</f>
        <v>0%</v>
      </c>
      <c r="Q670" s="9" t="str">
        <f>IF(F670="Kredit",EOMONTH(B670,0),"")</f>
        <v/>
      </c>
      <c r="R670" s="17" t="str">
        <f>TEXT(B670,"dddd")</f>
        <v>Tuesday</v>
      </c>
    </row>
    <row r="671" spans="1:18">
      <c r="A671" s="5" t="s">
        <v>678</v>
      </c>
      <c r="B671" s="8">
        <v>46095</v>
      </c>
      <c r="C671" s="5" t="s">
        <v>967</v>
      </c>
      <c r="D671" s="5" t="s">
        <v>968</v>
      </c>
      <c r="E671" s="5" t="s">
        <v>964</v>
      </c>
      <c r="F671" s="5" t="s">
        <v>4</v>
      </c>
      <c r="G671" s="5">
        <v>2</v>
      </c>
      <c r="H671" s="5" t="s">
        <v>963</v>
      </c>
      <c r="I671" s="13">
        <v>511069071</v>
      </c>
      <c r="J671" s="10" t="s">
        <v>1654</v>
      </c>
      <c r="K671" t="str">
        <f>LEFT(C671,FIND(" ",C671)-1)&amp;"-"&amp;E671&amp;" "&amp;"Filialina çardırılma"</f>
        <v>Aysel-Sumqayıt Filialina çardırılma</v>
      </c>
      <c r="L671">
        <f>VLOOKUP(D671,Anbar!$A$2:$B$5,2,FALSE)</f>
        <v>400</v>
      </c>
      <c r="M671">
        <f>VLOOKUP(D671,Anbar!$A$2:$C$5,3,FALSE)</f>
        <v>650</v>
      </c>
      <c r="N671">
        <f t="shared" si="20"/>
        <v>1300</v>
      </c>
      <c r="O671">
        <f t="shared" si="21"/>
        <v>500</v>
      </c>
      <c r="P671" t="str">
        <f>IF(AND(F671="Nağd",G671&gt;5),M671*0.9,"0%")</f>
        <v>0%</v>
      </c>
      <c r="Q671" s="9">
        <f>IF(F671="Kredit",EOMONTH(B671,0),"")</f>
        <v>46112</v>
      </c>
      <c r="R671" s="17" t="str">
        <f>TEXT(B671,"dddd")</f>
        <v>Saturday</v>
      </c>
    </row>
    <row r="672" spans="1:18">
      <c r="A672" s="5" t="s">
        <v>679</v>
      </c>
      <c r="B672" s="8">
        <v>46062</v>
      </c>
      <c r="C672" s="5" t="s">
        <v>979</v>
      </c>
      <c r="D672" s="5" t="s">
        <v>968</v>
      </c>
      <c r="E672" s="5" t="s">
        <v>964</v>
      </c>
      <c r="F672" s="5" t="s">
        <v>7</v>
      </c>
      <c r="G672" s="5">
        <v>3</v>
      </c>
      <c r="H672" s="5" t="s">
        <v>963</v>
      </c>
      <c r="I672" s="13">
        <v>511455161</v>
      </c>
      <c r="J672" s="10" t="s">
        <v>1655</v>
      </c>
      <c r="K672" t="str">
        <f>LEFT(C672,FIND(" ",C672)-1)&amp;"-"&amp;E672&amp;" "&amp;"Filialina çardırılma"</f>
        <v>Leyla-Sumqayıt Filialina çardırılma</v>
      </c>
      <c r="L672">
        <f>VLOOKUP(D672,Anbar!$A$2:$B$5,2,FALSE)</f>
        <v>400</v>
      </c>
      <c r="M672">
        <f>VLOOKUP(D672,Anbar!$A$2:$C$5,3,FALSE)</f>
        <v>650</v>
      </c>
      <c r="N672">
        <f t="shared" si="20"/>
        <v>1950</v>
      </c>
      <c r="O672">
        <f t="shared" si="21"/>
        <v>750</v>
      </c>
      <c r="P672" t="str">
        <f>IF(AND(F672="Nağd",G672&gt;5),M672*0.9,"0%")</f>
        <v>0%</v>
      </c>
      <c r="Q672" s="9" t="str">
        <f>IF(F672="Kredit",EOMONTH(B672,0),"")</f>
        <v/>
      </c>
      <c r="R672" s="17" t="str">
        <f>TEXT(B672,"dddd")</f>
        <v>Monday</v>
      </c>
    </row>
    <row r="673" spans="1:18">
      <c r="A673" s="5" t="s">
        <v>680</v>
      </c>
      <c r="B673" s="8">
        <v>46075</v>
      </c>
      <c r="C673" s="5" t="s">
        <v>977</v>
      </c>
      <c r="D673" s="5" t="s">
        <v>20</v>
      </c>
      <c r="E673" s="5" t="s">
        <v>982</v>
      </c>
      <c r="F673" s="5" t="s">
        <v>965</v>
      </c>
      <c r="G673" s="5">
        <v>6</v>
      </c>
      <c r="H673" s="5" t="s">
        <v>963</v>
      </c>
      <c r="I673" s="13">
        <v>703049586</v>
      </c>
      <c r="J673" s="10" t="s">
        <v>1656</v>
      </c>
      <c r="K673" t="str">
        <f>LEFT(C673,FIND(" ",C673)-1)&amp;"-"&amp;E673&amp;" "&amp;"Filialina çardırılma"</f>
        <v>Elnur-Baki Filialina çardırılma</v>
      </c>
      <c r="L673">
        <f>VLOOKUP(D673,Anbar!$A$2:$B$5,2,FALSE)</f>
        <v>15</v>
      </c>
      <c r="M673">
        <f>VLOOKUP(D673,Anbar!$A$2:$C$5,3,FALSE)</f>
        <v>45</v>
      </c>
      <c r="N673">
        <f t="shared" si="20"/>
        <v>270</v>
      </c>
      <c r="O673">
        <f t="shared" si="21"/>
        <v>180</v>
      </c>
      <c r="P673">
        <f>IF(AND(F673="Nağd",G673&gt;5),M673*0.9,"0%")</f>
        <v>40.5</v>
      </c>
      <c r="Q673" s="9" t="str">
        <f>IF(F673="Kredit",EOMONTH(B673,0),"")</f>
        <v/>
      </c>
      <c r="R673" s="17" t="str">
        <f>TEXT(B673,"dddd")</f>
        <v>Sunday</v>
      </c>
    </row>
    <row r="674" spans="1:18">
      <c r="A674" s="5" t="s">
        <v>681</v>
      </c>
      <c r="B674" s="8">
        <v>46087</v>
      </c>
      <c r="C674" s="5" t="s">
        <v>967</v>
      </c>
      <c r="D674" s="5" t="s">
        <v>20</v>
      </c>
      <c r="E674" s="5" t="s">
        <v>964</v>
      </c>
      <c r="F674" s="5" t="s">
        <v>4</v>
      </c>
      <c r="G674" s="5">
        <v>1</v>
      </c>
      <c r="H674" s="5" t="s">
        <v>963</v>
      </c>
      <c r="I674" s="13">
        <v>504436804</v>
      </c>
      <c r="J674" s="10" t="s">
        <v>1657</v>
      </c>
      <c r="K674" t="str">
        <f>LEFT(C674,FIND(" ",C674)-1)&amp;"-"&amp;E674&amp;" "&amp;"Filialina çardırılma"</f>
        <v>Aysel-Sumqayıt Filialina çardırılma</v>
      </c>
      <c r="L674">
        <f>VLOOKUP(D674,Anbar!$A$2:$B$5,2,FALSE)</f>
        <v>15</v>
      </c>
      <c r="M674">
        <f>VLOOKUP(D674,Anbar!$A$2:$C$5,3,FALSE)</f>
        <v>45</v>
      </c>
      <c r="N674">
        <f t="shared" si="20"/>
        <v>45</v>
      </c>
      <c r="O674">
        <f t="shared" si="21"/>
        <v>30</v>
      </c>
      <c r="P674" t="str">
        <f>IF(AND(F674="Nağd",G674&gt;5),M674*0.9,"0%")</f>
        <v>0%</v>
      </c>
      <c r="Q674" s="9">
        <f>IF(F674="Kredit",EOMONTH(B674,0),"")</f>
        <v>46112</v>
      </c>
      <c r="R674" s="17" t="str">
        <f>TEXT(B674,"dddd")</f>
        <v>Friday</v>
      </c>
    </row>
    <row r="675" spans="1:18">
      <c r="A675" s="5" t="s">
        <v>682</v>
      </c>
      <c r="B675" s="8">
        <v>46120</v>
      </c>
      <c r="C675" s="5" t="s">
        <v>975</v>
      </c>
      <c r="D675" s="5" t="s">
        <v>971</v>
      </c>
      <c r="E675" s="5" t="s">
        <v>981</v>
      </c>
      <c r="F675" s="5" t="s">
        <v>965</v>
      </c>
      <c r="G675" s="5">
        <v>4</v>
      </c>
      <c r="H675" s="5" t="s">
        <v>963</v>
      </c>
      <c r="I675" s="13">
        <v>551826321</v>
      </c>
      <c r="J675" s="10" t="s">
        <v>1658</v>
      </c>
      <c r="K675" t="str">
        <f>LEFT(C675,FIND(" ",C675)-1)&amp;"-"&amp;E675&amp;" "&amp;"Filialina çardırılma"</f>
        <v>Murad-Gəncə Filialina çardırılma</v>
      </c>
      <c r="L675">
        <f>VLOOKUP(D675,Anbar!$A$2:$B$5,2,FALSE)</f>
        <v>1200</v>
      </c>
      <c r="M675">
        <f>VLOOKUP(D675,Anbar!$A$2:$C$5,3,FALSE)</f>
        <v>1800</v>
      </c>
      <c r="N675">
        <f t="shared" si="20"/>
        <v>7200</v>
      </c>
      <c r="O675">
        <f t="shared" si="21"/>
        <v>2400</v>
      </c>
      <c r="P675" t="str">
        <f>IF(AND(F675="Nağd",G675&gt;5),M675*0.9,"0%")</f>
        <v>0%</v>
      </c>
      <c r="Q675" s="9" t="str">
        <f>IF(F675="Kredit",EOMONTH(B675,0),"")</f>
        <v/>
      </c>
      <c r="R675" s="17" t="str">
        <f>TEXT(B675,"dddd")</f>
        <v>Wednesday</v>
      </c>
    </row>
    <row r="676" spans="1:18">
      <c r="A676" s="5" t="s">
        <v>683</v>
      </c>
      <c r="B676" s="8">
        <v>46097</v>
      </c>
      <c r="C676" s="5" t="s">
        <v>976</v>
      </c>
      <c r="D676" s="5" t="s">
        <v>971</v>
      </c>
      <c r="E676" s="5" t="s">
        <v>9</v>
      </c>
      <c r="F676" s="5" t="s">
        <v>4</v>
      </c>
      <c r="G676" s="5">
        <v>6</v>
      </c>
      <c r="H676" s="5" t="s">
        <v>963</v>
      </c>
      <c r="I676" s="13">
        <v>778153541</v>
      </c>
      <c r="J676" s="10" t="s">
        <v>1659</v>
      </c>
      <c r="K676" t="str">
        <f>LEFT(C676,FIND(" ",C676)-1)&amp;"-"&amp;E676&amp;" "&amp;"Filialina çardırılma"</f>
        <v>Nərgin-Gence Filialina çardırılma</v>
      </c>
      <c r="L676">
        <f>VLOOKUP(D676,Anbar!$A$2:$B$5,2,FALSE)</f>
        <v>1200</v>
      </c>
      <c r="M676">
        <f>VLOOKUP(D676,Anbar!$A$2:$C$5,3,FALSE)</f>
        <v>1800</v>
      </c>
      <c r="N676">
        <f t="shared" si="20"/>
        <v>10800</v>
      </c>
      <c r="O676">
        <f t="shared" si="21"/>
        <v>3600</v>
      </c>
      <c r="P676" t="str">
        <f>IF(AND(F676="Nağd",G676&gt;5),M676*0.9,"0%")</f>
        <v>0%</v>
      </c>
      <c r="Q676" s="9">
        <f>IF(F676="Kredit",EOMONTH(B676,0),"")</f>
        <v>46112</v>
      </c>
      <c r="R676" s="17" t="str">
        <f>TEXT(B676,"dddd")</f>
        <v>Monday</v>
      </c>
    </row>
    <row r="677" spans="1:18">
      <c r="A677" s="5" t="s">
        <v>684</v>
      </c>
      <c r="B677" s="8">
        <v>46034</v>
      </c>
      <c r="C677" s="5" t="s">
        <v>967</v>
      </c>
      <c r="D677" s="5" t="s">
        <v>20</v>
      </c>
      <c r="E677" s="5" t="s">
        <v>980</v>
      </c>
      <c r="F677" s="5" t="s">
        <v>7</v>
      </c>
      <c r="G677" s="5">
        <v>7</v>
      </c>
      <c r="H677" s="5" t="s">
        <v>963</v>
      </c>
      <c r="I677" s="13">
        <v>704260977</v>
      </c>
      <c r="J677" s="10" t="s">
        <v>1660</v>
      </c>
      <c r="K677" t="str">
        <f>LEFT(C677,FIND(" ",C677)-1)&amp;"-"&amp;E677&amp;" "&amp;"Filialina çardırılma"</f>
        <v>Aysel-Sumqayit Filialina çardırılma</v>
      </c>
      <c r="L677">
        <f>VLOOKUP(D677,Anbar!$A$2:$B$5,2,FALSE)</f>
        <v>15</v>
      </c>
      <c r="M677">
        <f>VLOOKUP(D677,Anbar!$A$2:$C$5,3,FALSE)</f>
        <v>45</v>
      </c>
      <c r="N677">
        <f t="shared" si="20"/>
        <v>315</v>
      </c>
      <c r="O677">
        <f t="shared" si="21"/>
        <v>210</v>
      </c>
      <c r="P677" t="str">
        <f>IF(AND(F677="Nağd",G677&gt;5),M677*0.9,"0%")</f>
        <v>0%</v>
      </c>
      <c r="Q677" s="9" t="str">
        <f>IF(F677="Kredit",EOMONTH(B677,0),"")</f>
        <v/>
      </c>
      <c r="R677" s="17" t="str">
        <f>TEXT(B677,"dddd")</f>
        <v>Monday</v>
      </c>
    </row>
    <row r="678" spans="1:18">
      <c r="A678" s="5" t="s">
        <v>685</v>
      </c>
      <c r="B678" s="8">
        <v>46122</v>
      </c>
      <c r="C678" s="5" t="s">
        <v>979</v>
      </c>
      <c r="D678" s="5" t="s">
        <v>20</v>
      </c>
      <c r="E678" s="5" t="s">
        <v>980</v>
      </c>
      <c r="F678" s="5" t="s">
        <v>965</v>
      </c>
      <c r="G678" s="5">
        <v>8</v>
      </c>
      <c r="H678" s="5" t="s">
        <v>963</v>
      </c>
      <c r="I678" s="13">
        <v>700470012</v>
      </c>
      <c r="J678" s="10" t="s">
        <v>1661</v>
      </c>
      <c r="K678" t="str">
        <f>LEFT(C678,FIND(" ",C678)-1)&amp;"-"&amp;E678&amp;" "&amp;"Filialina çardırılma"</f>
        <v>Leyla-Sumqayit Filialina çardırılma</v>
      </c>
      <c r="L678">
        <f>VLOOKUP(D678,Anbar!$A$2:$B$5,2,FALSE)</f>
        <v>15</v>
      </c>
      <c r="M678">
        <f>VLOOKUP(D678,Anbar!$A$2:$C$5,3,FALSE)</f>
        <v>45</v>
      </c>
      <c r="N678">
        <f t="shared" si="20"/>
        <v>360</v>
      </c>
      <c r="O678">
        <f t="shared" si="21"/>
        <v>240</v>
      </c>
      <c r="P678">
        <f>IF(AND(F678="Nağd",G678&gt;5),M678*0.9,"0%")</f>
        <v>40.5</v>
      </c>
      <c r="Q678" s="9" t="str">
        <f>IF(F678="Kredit",EOMONTH(B678,0),"")</f>
        <v/>
      </c>
      <c r="R678" s="17" t="str">
        <f>TEXT(B678,"dddd")</f>
        <v>Friday</v>
      </c>
    </row>
    <row r="679" spans="1:18">
      <c r="A679" s="5" t="s">
        <v>686</v>
      </c>
      <c r="B679" s="8">
        <v>46061</v>
      </c>
      <c r="C679" s="5" t="s">
        <v>967</v>
      </c>
      <c r="D679" s="5" t="s">
        <v>20</v>
      </c>
      <c r="E679" s="5" t="s">
        <v>980</v>
      </c>
      <c r="F679" s="5" t="s">
        <v>7</v>
      </c>
      <c r="G679" s="5">
        <v>3</v>
      </c>
      <c r="H679" s="5" t="s">
        <v>963</v>
      </c>
      <c r="I679" s="13">
        <v>706381231</v>
      </c>
      <c r="J679" s="10" t="s">
        <v>1662</v>
      </c>
      <c r="K679" t="str">
        <f>LEFT(C679,FIND(" ",C679)-1)&amp;"-"&amp;E679&amp;" "&amp;"Filialina çardırılma"</f>
        <v>Aysel-Sumqayit Filialina çardırılma</v>
      </c>
      <c r="L679">
        <f>VLOOKUP(D679,Anbar!$A$2:$B$5,2,FALSE)</f>
        <v>15</v>
      </c>
      <c r="M679">
        <f>VLOOKUP(D679,Anbar!$A$2:$C$5,3,FALSE)</f>
        <v>45</v>
      </c>
      <c r="N679">
        <f t="shared" si="20"/>
        <v>135</v>
      </c>
      <c r="O679">
        <f t="shared" si="21"/>
        <v>90</v>
      </c>
      <c r="P679" t="str">
        <f>IF(AND(F679="Nağd",G679&gt;5),M679*0.9,"0%")</f>
        <v>0%</v>
      </c>
      <c r="Q679" s="9" t="str">
        <f>IF(F679="Kredit",EOMONTH(B679,0),"")</f>
        <v/>
      </c>
      <c r="R679" s="17" t="str">
        <f>TEXT(B679,"dddd")</f>
        <v>Sunday</v>
      </c>
    </row>
    <row r="680" spans="1:18">
      <c r="A680" s="5" t="s">
        <v>687</v>
      </c>
      <c r="B680" s="8">
        <v>46094</v>
      </c>
      <c r="C680" s="5" t="s">
        <v>979</v>
      </c>
      <c r="D680" s="5" t="s">
        <v>971</v>
      </c>
      <c r="E680" s="5" t="s">
        <v>980</v>
      </c>
      <c r="F680" s="5" t="s">
        <v>4</v>
      </c>
      <c r="G680" s="5">
        <v>8</v>
      </c>
      <c r="H680" s="5" t="s">
        <v>963</v>
      </c>
      <c r="I680" s="13">
        <v>505365890</v>
      </c>
      <c r="J680" s="10" t="s">
        <v>1663</v>
      </c>
      <c r="K680" t="str">
        <f>LEFT(C680,FIND(" ",C680)-1)&amp;"-"&amp;E680&amp;" "&amp;"Filialina çardırılma"</f>
        <v>Leyla-Sumqayit Filialina çardırılma</v>
      </c>
      <c r="L680">
        <f>VLOOKUP(D680,Anbar!$A$2:$B$5,2,FALSE)</f>
        <v>1200</v>
      </c>
      <c r="M680">
        <f>VLOOKUP(D680,Anbar!$A$2:$C$5,3,FALSE)</f>
        <v>1800</v>
      </c>
      <c r="N680">
        <f t="shared" si="20"/>
        <v>14400</v>
      </c>
      <c r="O680">
        <f t="shared" si="21"/>
        <v>4800</v>
      </c>
      <c r="P680" t="str">
        <f>IF(AND(F680="Nağd",G680&gt;5),M680*0.9,"0%")</f>
        <v>0%</v>
      </c>
      <c r="Q680" s="9">
        <f>IF(F680="Kredit",EOMONTH(B680,0),"")</f>
        <v>46112</v>
      </c>
      <c r="R680" s="17" t="str">
        <f>TEXT(B680,"dddd")</f>
        <v>Friday</v>
      </c>
    </row>
    <row r="681" spans="1:18">
      <c r="A681" s="5" t="s">
        <v>688</v>
      </c>
      <c r="B681" s="8">
        <v>46174</v>
      </c>
      <c r="C681" s="5" t="s">
        <v>979</v>
      </c>
      <c r="D681" s="5" t="s">
        <v>15</v>
      </c>
      <c r="E681" s="5" t="s">
        <v>980</v>
      </c>
      <c r="F681" s="5" t="s">
        <v>4</v>
      </c>
      <c r="G681" s="5">
        <v>5</v>
      </c>
      <c r="H681" s="5" t="s">
        <v>963</v>
      </c>
      <c r="I681" s="13">
        <v>777400070</v>
      </c>
      <c r="J681" s="10" t="s">
        <v>1664</v>
      </c>
      <c r="K681" t="str">
        <f>LEFT(C681,FIND(" ",C681)-1)&amp;"-"&amp;E681&amp;" "&amp;"Filialina çardırılma"</f>
        <v>Leyla-Sumqayit Filialina çardırılma</v>
      </c>
      <c r="L681">
        <f>VLOOKUP(D681,Anbar!$A$2:$B$5,2,FALSE)</f>
        <v>600</v>
      </c>
      <c r="M681">
        <f>VLOOKUP(D681,Anbar!$A$2:$C$5,3,FALSE)</f>
        <v>950</v>
      </c>
      <c r="N681">
        <f t="shared" si="20"/>
        <v>4750</v>
      </c>
      <c r="O681">
        <f t="shared" si="21"/>
        <v>1750</v>
      </c>
      <c r="P681" t="str">
        <f>IF(AND(F681="Nağd",G681&gt;5),M681*0.9,"0%")</f>
        <v>0%</v>
      </c>
      <c r="Q681" s="9">
        <f>IF(F681="Kredit",EOMONTH(B681,0),"")</f>
        <v>46203</v>
      </c>
      <c r="R681" s="17" t="str">
        <f>TEXT(B681,"dddd")</f>
        <v>Monday</v>
      </c>
    </row>
    <row r="682" spans="1:18">
      <c r="A682" s="5" t="s">
        <v>689</v>
      </c>
      <c r="B682" s="8">
        <v>46092</v>
      </c>
      <c r="C682" s="5" t="s">
        <v>977</v>
      </c>
      <c r="D682" s="5" t="s">
        <v>968</v>
      </c>
      <c r="E682" s="5" t="s">
        <v>9</v>
      </c>
      <c r="F682" s="5" t="s">
        <v>965</v>
      </c>
      <c r="G682" s="5">
        <v>6</v>
      </c>
      <c r="H682" s="5" t="s">
        <v>963</v>
      </c>
      <c r="I682" s="13">
        <v>551794870</v>
      </c>
      <c r="J682" s="10" t="s">
        <v>1665</v>
      </c>
      <c r="K682" t="str">
        <f>LEFT(C682,FIND(" ",C682)-1)&amp;"-"&amp;E682&amp;" "&amp;"Filialina çardırılma"</f>
        <v>Elnur-Gence Filialina çardırılma</v>
      </c>
      <c r="L682">
        <f>VLOOKUP(D682,Anbar!$A$2:$B$5,2,FALSE)</f>
        <v>400</v>
      </c>
      <c r="M682">
        <f>VLOOKUP(D682,Anbar!$A$2:$C$5,3,FALSE)</f>
        <v>650</v>
      </c>
      <c r="N682">
        <f t="shared" si="20"/>
        <v>3900</v>
      </c>
      <c r="O682">
        <f t="shared" si="21"/>
        <v>1500</v>
      </c>
      <c r="P682">
        <f>IF(AND(F682="Nağd",G682&gt;5),M682*0.9,"0%")</f>
        <v>585</v>
      </c>
      <c r="Q682" s="9" t="str">
        <f>IF(F682="Kredit",EOMONTH(B682,0),"")</f>
        <v/>
      </c>
      <c r="R682" s="17" t="str">
        <f>TEXT(B682,"dddd")</f>
        <v>Wednesday</v>
      </c>
    </row>
    <row r="683" spans="1:18">
      <c r="A683" s="5" t="s">
        <v>690</v>
      </c>
      <c r="B683" s="8">
        <v>46074</v>
      </c>
      <c r="C683" s="5" t="s">
        <v>967</v>
      </c>
      <c r="D683" s="5" t="s">
        <v>20</v>
      </c>
      <c r="E683" s="5" t="s">
        <v>964</v>
      </c>
      <c r="F683" s="5" t="s">
        <v>965</v>
      </c>
      <c r="G683" s="5">
        <v>3</v>
      </c>
      <c r="H683" s="5" t="s">
        <v>963</v>
      </c>
      <c r="I683" s="13">
        <v>517274584</v>
      </c>
      <c r="J683" s="10" t="s">
        <v>1666</v>
      </c>
      <c r="K683" t="str">
        <f>LEFT(C683,FIND(" ",C683)-1)&amp;"-"&amp;E683&amp;" "&amp;"Filialina çardırılma"</f>
        <v>Aysel-Sumqayıt Filialina çardırılma</v>
      </c>
      <c r="L683">
        <f>VLOOKUP(D683,Anbar!$A$2:$B$5,2,FALSE)</f>
        <v>15</v>
      </c>
      <c r="M683">
        <f>VLOOKUP(D683,Anbar!$A$2:$C$5,3,FALSE)</f>
        <v>45</v>
      </c>
      <c r="N683">
        <f t="shared" si="20"/>
        <v>135</v>
      </c>
      <c r="O683">
        <f t="shared" si="21"/>
        <v>90</v>
      </c>
      <c r="P683" t="str">
        <f>IF(AND(F683="Nağd",G683&gt;5),M683*0.9,"0%")</f>
        <v>0%</v>
      </c>
      <c r="Q683" s="9" t="str">
        <f>IF(F683="Kredit",EOMONTH(B683,0),"")</f>
        <v/>
      </c>
      <c r="R683" s="17" t="str">
        <f>TEXT(B683,"dddd")</f>
        <v>Saturday</v>
      </c>
    </row>
    <row r="684" spans="1:18">
      <c r="A684" s="5" t="s">
        <v>691</v>
      </c>
      <c r="B684" s="8">
        <v>46098</v>
      </c>
      <c r="C684" s="5" t="s">
        <v>967</v>
      </c>
      <c r="D684" s="5" t="s">
        <v>968</v>
      </c>
      <c r="E684" s="5" t="s">
        <v>980</v>
      </c>
      <c r="F684" s="5" t="s">
        <v>965</v>
      </c>
      <c r="G684" s="5">
        <v>3</v>
      </c>
      <c r="H684" s="5" t="s">
        <v>963</v>
      </c>
      <c r="I684" s="13">
        <v>511632687</v>
      </c>
      <c r="J684" s="10" t="s">
        <v>1667</v>
      </c>
      <c r="K684" t="str">
        <f>LEFT(C684,FIND(" ",C684)-1)&amp;"-"&amp;E684&amp;" "&amp;"Filialina çardırılma"</f>
        <v>Aysel-Sumqayit Filialina çardırılma</v>
      </c>
      <c r="L684">
        <f>VLOOKUP(D684,Anbar!$A$2:$B$5,2,FALSE)</f>
        <v>400</v>
      </c>
      <c r="M684">
        <f>VLOOKUP(D684,Anbar!$A$2:$C$5,3,FALSE)</f>
        <v>650</v>
      </c>
      <c r="N684">
        <f t="shared" si="20"/>
        <v>1950</v>
      </c>
      <c r="O684">
        <f t="shared" si="21"/>
        <v>750</v>
      </c>
      <c r="P684" t="str">
        <f>IF(AND(F684="Nağd",G684&gt;5),M684*0.9,"0%")</f>
        <v>0%</v>
      </c>
      <c r="Q684" s="9" t="str">
        <f>IF(F684="Kredit",EOMONTH(B684,0),"")</f>
        <v/>
      </c>
      <c r="R684" s="17" t="str">
        <f>TEXT(B684,"dddd")</f>
        <v>Tuesday</v>
      </c>
    </row>
    <row r="685" spans="1:18">
      <c r="A685" s="5" t="s">
        <v>692</v>
      </c>
      <c r="B685" s="8">
        <v>46059</v>
      </c>
      <c r="C685" s="5" t="s">
        <v>977</v>
      </c>
      <c r="D685" s="5" t="s">
        <v>971</v>
      </c>
      <c r="E685" s="5" t="s">
        <v>964</v>
      </c>
      <c r="F685" s="5" t="s">
        <v>965</v>
      </c>
      <c r="G685" s="5">
        <v>7</v>
      </c>
      <c r="H685" s="5" t="s">
        <v>963</v>
      </c>
      <c r="I685" s="13">
        <v>551409573</v>
      </c>
      <c r="J685" s="10" t="s">
        <v>1668</v>
      </c>
      <c r="K685" t="str">
        <f>LEFT(C685,FIND(" ",C685)-1)&amp;"-"&amp;E685&amp;" "&amp;"Filialina çardırılma"</f>
        <v>Elnur-Sumqayıt Filialina çardırılma</v>
      </c>
      <c r="L685">
        <f>VLOOKUP(D685,Anbar!$A$2:$B$5,2,FALSE)</f>
        <v>1200</v>
      </c>
      <c r="M685">
        <f>VLOOKUP(D685,Anbar!$A$2:$C$5,3,FALSE)</f>
        <v>1800</v>
      </c>
      <c r="N685">
        <f t="shared" si="20"/>
        <v>12600</v>
      </c>
      <c r="O685">
        <f t="shared" si="21"/>
        <v>4200</v>
      </c>
      <c r="P685">
        <f>IF(AND(F685="Nağd",G685&gt;5),M685*0.9,"0%")</f>
        <v>1620</v>
      </c>
      <c r="Q685" s="9" t="str">
        <f>IF(F685="Kredit",EOMONTH(B685,0),"")</f>
        <v/>
      </c>
      <c r="R685" s="17" t="str">
        <f>TEXT(B685,"dddd")</f>
        <v>Friday</v>
      </c>
    </row>
    <row r="686" spans="1:18">
      <c r="A686" s="5" t="s">
        <v>693</v>
      </c>
      <c r="B686" s="8">
        <v>46171</v>
      </c>
      <c r="C686" s="5" t="s">
        <v>978</v>
      </c>
      <c r="D686" s="5" t="s">
        <v>15</v>
      </c>
      <c r="E686" s="5" t="s">
        <v>981</v>
      </c>
      <c r="F686" s="5" t="s">
        <v>7</v>
      </c>
      <c r="G686" s="5">
        <v>5</v>
      </c>
      <c r="H686" s="5" t="s">
        <v>963</v>
      </c>
      <c r="I686" s="13">
        <v>511898208</v>
      </c>
      <c r="J686" s="10" t="s">
        <v>1669</v>
      </c>
      <c r="K686" t="str">
        <f>LEFT(C686,FIND(" ",C686)-1)&amp;"-"&amp;E686&amp;" "&amp;"Filialina çardırılma"</f>
        <v>Əli-Gəncə Filialina çardırılma</v>
      </c>
      <c r="L686">
        <f>VLOOKUP(D686,Anbar!$A$2:$B$5,2,FALSE)</f>
        <v>600</v>
      </c>
      <c r="M686">
        <f>VLOOKUP(D686,Anbar!$A$2:$C$5,3,FALSE)</f>
        <v>950</v>
      </c>
      <c r="N686">
        <f t="shared" si="20"/>
        <v>4750</v>
      </c>
      <c r="O686">
        <f t="shared" si="21"/>
        <v>1750</v>
      </c>
      <c r="P686" t="str">
        <f>IF(AND(F686="Nağd",G686&gt;5),M686*0.9,"0%")</f>
        <v>0%</v>
      </c>
      <c r="Q686" s="9" t="str">
        <f>IF(F686="Kredit",EOMONTH(B686,0),"")</f>
        <v/>
      </c>
      <c r="R686" s="17" t="str">
        <f>TEXT(B686,"dddd")</f>
        <v>Friday</v>
      </c>
    </row>
    <row r="687" spans="1:18">
      <c r="A687" s="5" t="s">
        <v>694</v>
      </c>
      <c r="B687" s="8">
        <v>46048</v>
      </c>
      <c r="C687" s="5" t="s">
        <v>967</v>
      </c>
      <c r="D687" s="5" t="s">
        <v>971</v>
      </c>
      <c r="E687" s="5" t="s">
        <v>964</v>
      </c>
      <c r="F687" s="5" t="s">
        <v>4</v>
      </c>
      <c r="G687" s="5">
        <v>9</v>
      </c>
      <c r="H687" s="5" t="s">
        <v>963</v>
      </c>
      <c r="I687" s="13">
        <v>550447918</v>
      </c>
      <c r="J687" s="10" t="s">
        <v>1670</v>
      </c>
      <c r="K687" t="str">
        <f>LEFT(C687,FIND(" ",C687)-1)&amp;"-"&amp;E687&amp;" "&amp;"Filialina çardırılma"</f>
        <v>Aysel-Sumqayıt Filialina çardırılma</v>
      </c>
      <c r="L687">
        <f>VLOOKUP(D687,Anbar!$A$2:$B$5,2,FALSE)</f>
        <v>1200</v>
      </c>
      <c r="M687">
        <f>VLOOKUP(D687,Anbar!$A$2:$C$5,3,FALSE)</f>
        <v>1800</v>
      </c>
      <c r="N687">
        <f t="shared" si="20"/>
        <v>16200</v>
      </c>
      <c r="O687">
        <f t="shared" si="21"/>
        <v>5400</v>
      </c>
      <c r="P687" t="str">
        <f>IF(AND(F687="Nağd",G687&gt;5),M687*0.9,"0%")</f>
        <v>0%</v>
      </c>
      <c r="Q687" s="9">
        <f>IF(F687="Kredit",EOMONTH(B687,0),"")</f>
        <v>46053</v>
      </c>
      <c r="R687" s="17" t="str">
        <f>TEXT(B687,"dddd")</f>
        <v>Monday</v>
      </c>
    </row>
    <row r="688" spans="1:18">
      <c r="A688" s="5" t="s">
        <v>695</v>
      </c>
      <c r="B688" s="8">
        <v>46130</v>
      </c>
      <c r="C688" s="5" t="s">
        <v>978</v>
      </c>
      <c r="D688" s="5" t="s">
        <v>971</v>
      </c>
      <c r="E688" s="5" t="s">
        <v>981</v>
      </c>
      <c r="F688" s="5" t="s">
        <v>7</v>
      </c>
      <c r="G688" s="5">
        <v>10</v>
      </c>
      <c r="H688" s="5" t="s">
        <v>963</v>
      </c>
      <c r="I688" s="13">
        <v>503251687</v>
      </c>
      <c r="J688" s="10" t="s">
        <v>1671</v>
      </c>
      <c r="K688" t="str">
        <f>LEFT(C688,FIND(" ",C688)-1)&amp;"-"&amp;E688&amp;" "&amp;"Filialina çardırılma"</f>
        <v>Əli-Gəncə Filialina çardırılma</v>
      </c>
      <c r="L688">
        <f>VLOOKUP(D688,Anbar!$A$2:$B$5,2,FALSE)</f>
        <v>1200</v>
      </c>
      <c r="M688">
        <f>VLOOKUP(D688,Anbar!$A$2:$C$5,3,FALSE)</f>
        <v>1800</v>
      </c>
      <c r="N688">
        <f t="shared" si="20"/>
        <v>18000</v>
      </c>
      <c r="O688">
        <f t="shared" si="21"/>
        <v>6000</v>
      </c>
      <c r="P688" t="str">
        <f>IF(AND(F688="Nağd",G688&gt;5),M688*0.9,"0%")</f>
        <v>0%</v>
      </c>
      <c r="Q688" s="9" t="str">
        <f>IF(F688="Kredit",EOMONTH(B688,0),"")</f>
        <v/>
      </c>
      <c r="R688" s="17" t="str">
        <f>TEXT(B688,"dddd")</f>
        <v>Saturday</v>
      </c>
    </row>
    <row r="689" spans="1:18">
      <c r="A689" s="5" t="s">
        <v>696</v>
      </c>
      <c r="B689" s="8">
        <v>46074</v>
      </c>
      <c r="C689" s="5" t="s">
        <v>967</v>
      </c>
      <c r="D689" s="5" t="s">
        <v>15</v>
      </c>
      <c r="E689" s="5" t="s">
        <v>9</v>
      </c>
      <c r="F689" s="5" t="s">
        <v>7</v>
      </c>
      <c r="G689" s="5">
        <v>5</v>
      </c>
      <c r="H689" s="5" t="s">
        <v>963</v>
      </c>
      <c r="I689" s="13">
        <v>518100733</v>
      </c>
      <c r="J689" s="10" t="s">
        <v>1672</v>
      </c>
      <c r="K689" t="str">
        <f>LEFT(C689,FIND(" ",C689)-1)&amp;"-"&amp;E689&amp;" "&amp;"Filialina çardırılma"</f>
        <v>Aysel-Gence Filialina çardırılma</v>
      </c>
      <c r="L689">
        <f>VLOOKUP(D689,Anbar!$A$2:$B$5,2,FALSE)</f>
        <v>600</v>
      </c>
      <c r="M689">
        <f>VLOOKUP(D689,Anbar!$A$2:$C$5,3,FALSE)</f>
        <v>950</v>
      </c>
      <c r="N689">
        <f t="shared" si="20"/>
        <v>4750</v>
      </c>
      <c r="O689">
        <f t="shared" si="21"/>
        <v>1750</v>
      </c>
      <c r="P689" t="str">
        <f>IF(AND(F689="Nağd",G689&gt;5),M689*0.9,"0%")</f>
        <v>0%</v>
      </c>
      <c r="Q689" s="9" t="str">
        <f>IF(F689="Kredit",EOMONTH(B689,0),"")</f>
        <v/>
      </c>
      <c r="R689" s="17" t="str">
        <f>TEXT(B689,"dddd")</f>
        <v>Saturday</v>
      </c>
    </row>
    <row r="690" spans="1:18">
      <c r="A690" s="5" t="s">
        <v>697</v>
      </c>
      <c r="B690" s="8">
        <v>46099</v>
      </c>
      <c r="C690" s="5" t="s">
        <v>978</v>
      </c>
      <c r="D690" s="5" t="s">
        <v>15</v>
      </c>
      <c r="E690" s="5" t="s">
        <v>9</v>
      </c>
      <c r="F690" s="5" t="s">
        <v>4</v>
      </c>
      <c r="G690" s="5">
        <v>8</v>
      </c>
      <c r="H690" s="5" t="s">
        <v>963</v>
      </c>
      <c r="I690" s="13">
        <v>701067443</v>
      </c>
      <c r="J690" s="10" t="s">
        <v>1673</v>
      </c>
      <c r="K690" t="str">
        <f>LEFT(C690,FIND(" ",C690)-1)&amp;"-"&amp;E690&amp;" "&amp;"Filialina çardırılma"</f>
        <v>Əli-Gence Filialina çardırılma</v>
      </c>
      <c r="L690">
        <f>VLOOKUP(D690,Anbar!$A$2:$B$5,2,FALSE)</f>
        <v>600</v>
      </c>
      <c r="M690">
        <f>VLOOKUP(D690,Anbar!$A$2:$C$5,3,FALSE)</f>
        <v>950</v>
      </c>
      <c r="N690">
        <f t="shared" si="20"/>
        <v>7600</v>
      </c>
      <c r="O690">
        <f t="shared" si="21"/>
        <v>2800</v>
      </c>
      <c r="P690" t="str">
        <f>IF(AND(F690="Nağd",G690&gt;5),M690*0.9,"0%")</f>
        <v>0%</v>
      </c>
      <c r="Q690" s="9">
        <f>IF(F690="Kredit",EOMONTH(B690,0),"")</f>
        <v>46112</v>
      </c>
      <c r="R690" s="17" t="str">
        <f>TEXT(B690,"dddd")</f>
        <v>Wednesday</v>
      </c>
    </row>
    <row r="691" spans="1:18">
      <c r="A691" s="5" t="s">
        <v>698</v>
      </c>
      <c r="B691" s="8">
        <v>46133</v>
      </c>
      <c r="C691" s="5" t="s">
        <v>976</v>
      </c>
      <c r="D691" s="5" t="s">
        <v>20</v>
      </c>
      <c r="E691" s="5" t="s">
        <v>982</v>
      </c>
      <c r="F691" s="5" t="s">
        <v>965</v>
      </c>
      <c r="G691" s="5">
        <v>4</v>
      </c>
      <c r="H691" s="5" t="s">
        <v>963</v>
      </c>
      <c r="I691" s="13">
        <v>770710138</v>
      </c>
      <c r="J691" s="10" t="s">
        <v>1674</v>
      </c>
      <c r="K691" t="str">
        <f>LEFT(C691,FIND(" ",C691)-1)&amp;"-"&amp;E691&amp;" "&amp;"Filialina çardırılma"</f>
        <v>Nərgin-Baki Filialina çardırılma</v>
      </c>
      <c r="L691">
        <f>VLOOKUP(D691,Anbar!$A$2:$B$5,2,FALSE)</f>
        <v>15</v>
      </c>
      <c r="M691">
        <f>VLOOKUP(D691,Anbar!$A$2:$C$5,3,FALSE)</f>
        <v>45</v>
      </c>
      <c r="N691">
        <f t="shared" si="20"/>
        <v>180</v>
      </c>
      <c r="O691">
        <f t="shared" si="21"/>
        <v>120</v>
      </c>
      <c r="P691" t="str">
        <f>IF(AND(F691="Nağd",G691&gt;5),M691*0.9,"0%")</f>
        <v>0%</v>
      </c>
      <c r="Q691" s="9" t="str">
        <f>IF(F691="Kredit",EOMONTH(B691,0),"")</f>
        <v/>
      </c>
      <c r="R691" s="17" t="str">
        <f>TEXT(B691,"dddd")</f>
        <v>Tuesday</v>
      </c>
    </row>
    <row r="692" spans="1:18">
      <c r="A692" s="5" t="s">
        <v>699</v>
      </c>
      <c r="B692" s="8">
        <v>46117</v>
      </c>
      <c r="C692" s="5" t="s">
        <v>977</v>
      </c>
      <c r="D692" s="5" t="s">
        <v>20</v>
      </c>
      <c r="E692" s="5" t="s">
        <v>980</v>
      </c>
      <c r="F692" s="5" t="s">
        <v>4</v>
      </c>
      <c r="G692" s="5">
        <v>9</v>
      </c>
      <c r="H692" s="5" t="s">
        <v>963</v>
      </c>
      <c r="I692" s="13">
        <v>702239895</v>
      </c>
      <c r="J692" s="10" t="s">
        <v>1675</v>
      </c>
      <c r="K692" t="str">
        <f>LEFT(C692,FIND(" ",C692)-1)&amp;"-"&amp;E692&amp;" "&amp;"Filialina çardırılma"</f>
        <v>Elnur-Sumqayit Filialina çardırılma</v>
      </c>
      <c r="L692">
        <f>VLOOKUP(D692,Anbar!$A$2:$B$5,2,FALSE)</f>
        <v>15</v>
      </c>
      <c r="M692">
        <f>VLOOKUP(D692,Anbar!$A$2:$C$5,3,FALSE)</f>
        <v>45</v>
      </c>
      <c r="N692">
        <f t="shared" si="20"/>
        <v>405</v>
      </c>
      <c r="O692">
        <f t="shared" si="21"/>
        <v>270</v>
      </c>
      <c r="P692" t="str">
        <f>IF(AND(F692="Nağd",G692&gt;5),M692*0.9,"0%")</f>
        <v>0%</v>
      </c>
      <c r="Q692" s="9">
        <f>IF(F692="Kredit",EOMONTH(B692,0),"")</f>
        <v>46142</v>
      </c>
      <c r="R692" s="17" t="str">
        <f>TEXT(B692,"dddd")</f>
        <v>Sunday</v>
      </c>
    </row>
    <row r="693" spans="1:18">
      <c r="A693" s="5" t="s">
        <v>700</v>
      </c>
      <c r="B693" s="8">
        <v>46151</v>
      </c>
      <c r="C693" s="5" t="s">
        <v>6</v>
      </c>
      <c r="D693" s="5" t="s">
        <v>971</v>
      </c>
      <c r="E693" s="5" t="s">
        <v>966</v>
      </c>
      <c r="F693" s="5" t="s">
        <v>965</v>
      </c>
      <c r="G693" s="5">
        <v>1</v>
      </c>
      <c r="H693" s="5" t="s">
        <v>963</v>
      </c>
      <c r="I693" s="13">
        <v>776577922</v>
      </c>
      <c r="J693" s="10" t="s">
        <v>1676</v>
      </c>
      <c r="K693" t="str">
        <f>LEFT(C693,FIND(" ",C693)-1)&amp;"-"&amp;E693&amp;" "&amp;"Filialina çardırılma"</f>
        <v>Zaur-Bakı Filialina çardırılma</v>
      </c>
      <c r="L693">
        <f>VLOOKUP(D693,Anbar!$A$2:$B$5,2,FALSE)</f>
        <v>1200</v>
      </c>
      <c r="M693">
        <f>VLOOKUP(D693,Anbar!$A$2:$C$5,3,FALSE)</f>
        <v>1800</v>
      </c>
      <c r="N693">
        <f t="shared" si="20"/>
        <v>1800</v>
      </c>
      <c r="O693">
        <f t="shared" si="21"/>
        <v>600</v>
      </c>
      <c r="P693" t="str">
        <f>IF(AND(F693="Nağd",G693&gt;5),M693*0.9,"0%")</f>
        <v>0%</v>
      </c>
      <c r="Q693" s="9" t="str">
        <f>IF(F693="Kredit",EOMONTH(B693,0),"")</f>
        <v/>
      </c>
      <c r="R693" s="17" t="str">
        <f>TEXT(B693,"dddd")</f>
        <v>Saturday</v>
      </c>
    </row>
    <row r="694" spans="1:18">
      <c r="A694" s="5" t="s">
        <v>701</v>
      </c>
      <c r="B694" s="8">
        <v>46157</v>
      </c>
      <c r="C694" s="5" t="s">
        <v>976</v>
      </c>
      <c r="D694" s="5" t="s">
        <v>15</v>
      </c>
      <c r="E694" s="5" t="s">
        <v>980</v>
      </c>
      <c r="F694" s="5" t="s">
        <v>965</v>
      </c>
      <c r="G694" s="5">
        <v>5</v>
      </c>
      <c r="H694" s="5" t="s">
        <v>963</v>
      </c>
      <c r="I694" s="13">
        <v>501665571</v>
      </c>
      <c r="J694" s="10" t="s">
        <v>1677</v>
      </c>
      <c r="K694" t="str">
        <f>LEFT(C694,FIND(" ",C694)-1)&amp;"-"&amp;E694&amp;" "&amp;"Filialina çardırılma"</f>
        <v>Nərgin-Sumqayit Filialina çardırılma</v>
      </c>
      <c r="L694">
        <f>VLOOKUP(D694,Anbar!$A$2:$B$5,2,FALSE)</f>
        <v>600</v>
      </c>
      <c r="M694">
        <f>VLOOKUP(D694,Anbar!$A$2:$C$5,3,FALSE)</f>
        <v>950</v>
      </c>
      <c r="N694">
        <f t="shared" si="20"/>
        <v>4750</v>
      </c>
      <c r="O694">
        <f t="shared" si="21"/>
        <v>1750</v>
      </c>
      <c r="P694" t="str">
        <f>IF(AND(F694="Nağd",G694&gt;5),M694*0.9,"0%")</f>
        <v>0%</v>
      </c>
      <c r="Q694" s="9" t="str">
        <f>IF(F694="Kredit",EOMONTH(B694,0),"")</f>
        <v/>
      </c>
      <c r="R694" s="17" t="str">
        <f>TEXT(B694,"dddd")</f>
        <v>Friday</v>
      </c>
    </row>
    <row r="695" spans="1:18">
      <c r="A695" s="5" t="s">
        <v>702</v>
      </c>
      <c r="B695" s="8">
        <v>46062</v>
      </c>
      <c r="C695" s="5" t="s">
        <v>976</v>
      </c>
      <c r="D695" s="5" t="s">
        <v>15</v>
      </c>
      <c r="E695" s="5" t="s">
        <v>9</v>
      </c>
      <c r="F695" s="5" t="s">
        <v>4</v>
      </c>
      <c r="G695" s="5">
        <v>1</v>
      </c>
      <c r="H695" s="5" t="s">
        <v>963</v>
      </c>
      <c r="I695" s="13">
        <v>509303824</v>
      </c>
      <c r="J695" s="10" t="s">
        <v>1678</v>
      </c>
      <c r="K695" t="str">
        <f>LEFT(C695,FIND(" ",C695)-1)&amp;"-"&amp;E695&amp;" "&amp;"Filialina çardırılma"</f>
        <v>Nərgin-Gence Filialina çardırılma</v>
      </c>
      <c r="L695">
        <f>VLOOKUP(D695,Anbar!$A$2:$B$5,2,FALSE)</f>
        <v>600</v>
      </c>
      <c r="M695">
        <f>VLOOKUP(D695,Anbar!$A$2:$C$5,3,FALSE)</f>
        <v>950</v>
      </c>
      <c r="N695">
        <f t="shared" si="20"/>
        <v>950</v>
      </c>
      <c r="O695">
        <f t="shared" si="21"/>
        <v>350</v>
      </c>
      <c r="P695" t="str">
        <f>IF(AND(F695="Nağd",G695&gt;5),M695*0.9,"0%")</f>
        <v>0%</v>
      </c>
      <c r="Q695" s="9">
        <f>IF(F695="Kredit",EOMONTH(B695,0),"")</f>
        <v>46081</v>
      </c>
      <c r="R695" s="17" t="str">
        <f>TEXT(B695,"dddd")</f>
        <v>Monday</v>
      </c>
    </row>
    <row r="696" spans="1:18">
      <c r="A696" s="5" t="s">
        <v>703</v>
      </c>
      <c r="B696" s="8">
        <v>46113</v>
      </c>
      <c r="C696" s="5" t="s">
        <v>967</v>
      </c>
      <c r="D696" s="5" t="s">
        <v>15</v>
      </c>
      <c r="E696" s="5" t="s">
        <v>9</v>
      </c>
      <c r="F696" s="5" t="s">
        <v>965</v>
      </c>
      <c r="G696" s="5">
        <v>7</v>
      </c>
      <c r="H696" s="5" t="s">
        <v>963</v>
      </c>
      <c r="I696" s="13">
        <v>559480677</v>
      </c>
      <c r="J696" s="10" t="s">
        <v>1679</v>
      </c>
      <c r="K696" t="str">
        <f>LEFT(C696,FIND(" ",C696)-1)&amp;"-"&amp;E696&amp;" "&amp;"Filialina çardırılma"</f>
        <v>Aysel-Gence Filialina çardırılma</v>
      </c>
      <c r="L696">
        <f>VLOOKUP(D696,Anbar!$A$2:$B$5,2,FALSE)</f>
        <v>600</v>
      </c>
      <c r="M696">
        <f>VLOOKUP(D696,Anbar!$A$2:$C$5,3,FALSE)</f>
        <v>950</v>
      </c>
      <c r="N696">
        <f t="shared" si="20"/>
        <v>6650</v>
      </c>
      <c r="O696">
        <f t="shared" si="21"/>
        <v>2450</v>
      </c>
      <c r="P696">
        <f>IF(AND(F696="Nağd",G696&gt;5),M696*0.9,"0%")</f>
        <v>855</v>
      </c>
      <c r="Q696" s="9" t="str">
        <f>IF(F696="Kredit",EOMONTH(B696,0),"")</f>
        <v/>
      </c>
      <c r="R696" s="17" t="str">
        <f>TEXT(B696,"dddd")</f>
        <v>Wednesday</v>
      </c>
    </row>
    <row r="697" spans="1:18">
      <c r="A697" s="5" t="s">
        <v>704</v>
      </c>
      <c r="B697" s="8">
        <v>46146</v>
      </c>
      <c r="C697" s="5" t="s">
        <v>978</v>
      </c>
      <c r="D697" s="5" t="s">
        <v>968</v>
      </c>
      <c r="E697" s="5" t="s">
        <v>980</v>
      </c>
      <c r="F697" s="5" t="s">
        <v>7</v>
      </c>
      <c r="G697" s="5">
        <v>10</v>
      </c>
      <c r="H697" s="5" t="s">
        <v>963</v>
      </c>
      <c r="I697" s="13">
        <v>516059894</v>
      </c>
      <c r="J697" s="10" t="s">
        <v>1680</v>
      </c>
      <c r="K697" t="str">
        <f>LEFT(C697,FIND(" ",C697)-1)&amp;"-"&amp;E697&amp;" "&amp;"Filialina çardırılma"</f>
        <v>Əli-Sumqayit Filialina çardırılma</v>
      </c>
      <c r="L697">
        <f>VLOOKUP(D697,Anbar!$A$2:$B$5,2,FALSE)</f>
        <v>400</v>
      </c>
      <c r="M697">
        <f>VLOOKUP(D697,Anbar!$A$2:$C$5,3,FALSE)</f>
        <v>650</v>
      </c>
      <c r="N697">
        <f t="shared" si="20"/>
        <v>6500</v>
      </c>
      <c r="O697">
        <f t="shared" si="21"/>
        <v>2500</v>
      </c>
      <c r="P697" t="str">
        <f>IF(AND(F697="Nağd",G697&gt;5),M697*0.9,"0%")</f>
        <v>0%</v>
      </c>
      <c r="Q697" s="9" t="str">
        <f>IF(F697="Kredit",EOMONTH(B697,0),"")</f>
        <v/>
      </c>
      <c r="R697" s="17" t="str">
        <f>TEXT(B697,"dddd")</f>
        <v>Monday</v>
      </c>
    </row>
    <row r="698" spans="1:18">
      <c r="A698" s="5" t="s">
        <v>705</v>
      </c>
      <c r="B698" s="8">
        <v>46043</v>
      </c>
      <c r="C698" s="5" t="s">
        <v>977</v>
      </c>
      <c r="D698" s="5" t="s">
        <v>968</v>
      </c>
      <c r="E698" s="5" t="s">
        <v>982</v>
      </c>
      <c r="F698" s="5" t="s">
        <v>4</v>
      </c>
      <c r="G698" s="5">
        <v>2</v>
      </c>
      <c r="H698" s="5" t="s">
        <v>963</v>
      </c>
      <c r="I698" s="13">
        <v>557191613</v>
      </c>
      <c r="J698" s="10" t="s">
        <v>1681</v>
      </c>
      <c r="K698" t="str">
        <f>LEFT(C698,FIND(" ",C698)-1)&amp;"-"&amp;E698&amp;" "&amp;"Filialina çardırılma"</f>
        <v>Elnur-Baki Filialina çardırılma</v>
      </c>
      <c r="L698">
        <f>VLOOKUP(D698,Anbar!$A$2:$B$5,2,FALSE)</f>
        <v>400</v>
      </c>
      <c r="M698">
        <f>VLOOKUP(D698,Anbar!$A$2:$C$5,3,FALSE)</f>
        <v>650</v>
      </c>
      <c r="N698">
        <f t="shared" si="20"/>
        <v>1300</v>
      </c>
      <c r="O698">
        <f t="shared" si="21"/>
        <v>500</v>
      </c>
      <c r="P698" t="str">
        <f>IF(AND(F698="Nağd",G698&gt;5),M698*0.9,"0%")</f>
        <v>0%</v>
      </c>
      <c r="Q698" s="9">
        <f>IF(F698="Kredit",EOMONTH(B698,0),"")</f>
        <v>46053</v>
      </c>
      <c r="R698" s="17" t="str">
        <f>TEXT(B698,"dddd")</f>
        <v>Wednesday</v>
      </c>
    </row>
    <row r="699" spans="1:18">
      <c r="A699" s="5" t="s">
        <v>706</v>
      </c>
      <c r="B699" s="8">
        <v>46131</v>
      </c>
      <c r="C699" s="5" t="s">
        <v>975</v>
      </c>
      <c r="D699" s="5" t="s">
        <v>15</v>
      </c>
      <c r="E699" s="5" t="s">
        <v>981</v>
      </c>
      <c r="F699" s="5" t="s">
        <v>4</v>
      </c>
      <c r="G699" s="5">
        <v>3</v>
      </c>
      <c r="H699" s="5" t="s">
        <v>963</v>
      </c>
      <c r="I699" s="13">
        <v>775070712</v>
      </c>
      <c r="J699" s="10" t="s">
        <v>1682</v>
      </c>
      <c r="K699" t="str">
        <f>LEFT(C699,FIND(" ",C699)-1)&amp;"-"&amp;E699&amp;" "&amp;"Filialina çardırılma"</f>
        <v>Murad-Gəncə Filialina çardırılma</v>
      </c>
      <c r="L699">
        <f>VLOOKUP(D699,Anbar!$A$2:$B$5,2,FALSE)</f>
        <v>600</v>
      </c>
      <c r="M699">
        <f>VLOOKUP(D699,Anbar!$A$2:$C$5,3,FALSE)</f>
        <v>950</v>
      </c>
      <c r="N699">
        <f t="shared" si="20"/>
        <v>2850</v>
      </c>
      <c r="O699">
        <f t="shared" si="21"/>
        <v>1050</v>
      </c>
      <c r="P699" t="str">
        <f>IF(AND(F699="Nağd",G699&gt;5),M699*0.9,"0%")</f>
        <v>0%</v>
      </c>
      <c r="Q699" s="9">
        <f>IF(F699="Kredit",EOMONTH(B699,0),"")</f>
        <v>46142</v>
      </c>
      <c r="R699" s="17" t="str">
        <f>TEXT(B699,"dddd")</f>
        <v>Sunday</v>
      </c>
    </row>
    <row r="700" spans="1:18">
      <c r="A700" s="5" t="s">
        <v>707</v>
      </c>
      <c r="B700" s="8">
        <v>46078</v>
      </c>
      <c r="C700" s="5" t="s">
        <v>975</v>
      </c>
      <c r="D700" s="5" t="s">
        <v>971</v>
      </c>
      <c r="E700" s="5" t="s">
        <v>966</v>
      </c>
      <c r="F700" s="5" t="s">
        <v>4</v>
      </c>
      <c r="G700" s="5">
        <v>10</v>
      </c>
      <c r="H700" s="5" t="s">
        <v>963</v>
      </c>
      <c r="I700" s="13">
        <v>704659839</v>
      </c>
      <c r="J700" s="10" t="s">
        <v>1683</v>
      </c>
      <c r="K700" t="str">
        <f>LEFT(C700,FIND(" ",C700)-1)&amp;"-"&amp;E700&amp;" "&amp;"Filialina çardırılma"</f>
        <v>Murad-Bakı Filialina çardırılma</v>
      </c>
      <c r="L700">
        <f>VLOOKUP(D700,Anbar!$A$2:$B$5,2,FALSE)</f>
        <v>1200</v>
      </c>
      <c r="M700">
        <f>VLOOKUP(D700,Anbar!$A$2:$C$5,3,FALSE)</f>
        <v>1800</v>
      </c>
      <c r="N700">
        <f t="shared" si="20"/>
        <v>18000</v>
      </c>
      <c r="O700">
        <f t="shared" si="21"/>
        <v>6000</v>
      </c>
      <c r="P700" t="str">
        <f>IF(AND(F700="Nağd",G700&gt;5),M700*0.9,"0%")</f>
        <v>0%</v>
      </c>
      <c r="Q700" s="9">
        <f>IF(F700="Kredit",EOMONTH(B700,0),"")</f>
        <v>46081</v>
      </c>
      <c r="R700" s="17" t="str">
        <f>TEXT(B700,"dddd")</f>
        <v>Wednesday</v>
      </c>
    </row>
    <row r="701" spans="1:18">
      <c r="A701" s="5" t="s">
        <v>708</v>
      </c>
      <c r="B701" s="8">
        <v>46061</v>
      </c>
      <c r="C701" s="5" t="s">
        <v>978</v>
      </c>
      <c r="D701" s="5" t="s">
        <v>971</v>
      </c>
      <c r="E701" s="5" t="s">
        <v>983</v>
      </c>
      <c r="F701" s="5" t="s">
        <v>965</v>
      </c>
      <c r="G701" s="5">
        <v>9</v>
      </c>
      <c r="H701" s="5" t="s">
        <v>963</v>
      </c>
      <c r="I701" s="13">
        <v>775657098</v>
      </c>
      <c r="J701" s="10" t="s">
        <v>1684</v>
      </c>
      <c r="K701" t="str">
        <f>LEFT(C701,FIND(" ",C701)-1)&amp;"-"&amp;E701&amp;" "&amp;"Filialina çardırılma"</f>
        <v>Əli-Naməlum Filialina çardırılma</v>
      </c>
      <c r="L701">
        <f>VLOOKUP(D701,Anbar!$A$2:$B$5,2,FALSE)</f>
        <v>1200</v>
      </c>
      <c r="M701">
        <f>VLOOKUP(D701,Anbar!$A$2:$C$5,3,FALSE)</f>
        <v>1800</v>
      </c>
      <c r="N701">
        <f t="shared" si="20"/>
        <v>16200</v>
      </c>
      <c r="O701">
        <f t="shared" si="21"/>
        <v>5400</v>
      </c>
      <c r="P701">
        <f>IF(AND(F701="Nağd",G701&gt;5),M701*0.9,"0%")</f>
        <v>1620</v>
      </c>
      <c r="Q701" s="9" t="str">
        <f>IF(F701="Kredit",EOMONTH(B701,0),"")</f>
        <v/>
      </c>
      <c r="R701" s="17" t="str">
        <f>TEXT(B701,"dddd")</f>
        <v>Sunday</v>
      </c>
    </row>
    <row r="702" spans="1:18">
      <c r="A702" s="5" t="s">
        <v>709</v>
      </c>
      <c r="B702" s="8">
        <v>46146</v>
      </c>
      <c r="C702" s="5" t="s">
        <v>976</v>
      </c>
      <c r="D702" s="5" t="s">
        <v>971</v>
      </c>
      <c r="E702" s="5" t="s">
        <v>981</v>
      </c>
      <c r="F702" s="5" t="s">
        <v>4</v>
      </c>
      <c r="G702" s="5">
        <v>1</v>
      </c>
      <c r="H702" s="5" t="s">
        <v>963</v>
      </c>
      <c r="I702" s="13">
        <v>778911369</v>
      </c>
      <c r="J702" s="10" t="s">
        <v>1685</v>
      </c>
      <c r="K702" t="str">
        <f>LEFT(C702,FIND(" ",C702)-1)&amp;"-"&amp;E702&amp;" "&amp;"Filialina çardırılma"</f>
        <v>Nərgin-Gəncə Filialina çardırılma</v>
      </c>
      <c r="L702">
        <f>VLOOKUP(D702,Anbar!$A$2:$B$5,2,FALSE)</f>
        <v>1200</v>
      </c>
      <c r="M702">
        <f>VLOOKUP(D702,Anbar!$A$2:$C$5,3,FALSE)</f>
        <v>1800</v>
      </c>
      <c r="N702">
        <f t="shared" si="20"/>
        <v>1800</v>
      </c>
      <c r="O702">
        <f t="shared" si="21"/>
        <v>600</v>
      </c>
      <c r="P702" t="str">
        <f>IF(AND(F702="Nağd",G702&gt;5),M702*0.9,"0%")</f>
        <v>0%</v>
      </c>
      <c r="Q702" s="9">
        <f>IF(F702="Kredit",EOMONTH(B702,0),"")</f>
        <v>46173</v>
      </c>
      <c r="R702" s="17" t="str">
        <f>TEXT(B702,"dddd")</f>
        <v>Monday</v>
      </c>
    </row>
    <row r="703" spans="1:18">
      <c r="A703" s="5" t="s">
        <v>710</v>
      </c>
      <c r="B703" s="8">
        <v>46070</v>
      </c>
      <c r="C703" s="5" t="s">
        <v>967</v>
      </c>
      <c r="D703" s="5" t="s">
        <v>971</v>
      </c>
      <c r="E703" s="5" t="s">
        <v>964</v>
      </c>
      <c r="F703" s="5" t="s">
        <v>965</v>
      </c>
      <c r="G703" s="5">
        <v>2</v>
      </c>
      <c r="H703" s="5" t="s">
        <v>963</v>
      </c>
      <c r="I703" s="13">
        <v>773010322</v>
      </c>
      <c r="J703" s="10" t="s">
        <v>1686</v>
      </c>
      <c r="K703" t="str">
        <f>LEFT(C703,FIND(" ",C703)-1)&amp;"-"&amp;E703&amp;" "&amp;"Filialina çardırılma"</f>
        <v>Aysel-Sumqayıt Filialina çardırılma</v>
      </c>
      <c r="L703">
        <f>VLOOKUP(D703,Anbar!$A$2:$B$5,2,FALSE)</f>
        <v>1200</v>
      </c>
      <c r="M703">
        <f>VLOOKUP(D703,Anbar!$A$2:$C$5,3,FALSE)</f>
        <v>1800</v>
      </c>
      <c r="N703">
        <f t="shared" si="20"/>
        <v>3600</v>
      </c>
      <c r="O703">
        <f t="shared" si="21"/>
        <v>1200</v>
      </c>
      <c r="P703" t="str">
        <f>IF(AND(F703="Nağd",G703&gt;5),M703*0.9,"0%")</f>
        <v>0%</v>
      </c>
      <c r="Q703" s="9" t="str">
        <f>IF(F703="Kredit",EOMONTH(B703,0),"")</f>
        <v/>
      </c>
      <c r="R703" s="17" t="str">
        <f>TEXT(B703,"dddd")</f>
        <v>Tuesday</v>
      </c>
    </row>
    <row r="704" spans="1:18">
      <c r="A704" s="5" t="s">
        <v>711</v>
      </c>
      <c r="B704" s="8">
        <v>46100</v>
      </c>
      <c r="C704" s="5" t="s">
        <v>979</v>
      </c>
      <c r="D704" s="5" t="s">
        <v>971</v>
      </c>
      <c r="E704" s="5" t="s">
        <v>964</v>
      </c>
      <c r="F704" s="5" t="s">
        <v>4</v>
      </c>
      <c r="G704" s="5">
        <v>10</v>
      </c>
      <c r="H704" s="5" t="s">
        <v>963</v>
      </c>
      <c r="I704" s="13">
        <v>700920342</v>
      </c>
      <c r="J704" s="10" t="s">
        <v>1687</v>
      </c>
      <c r="K704" t="str">
        <f>LEFT(C704,FIND(" ",C704)-1)&amp;"-"&amp;E704&amp;" "&amp;"Filialina çardırılma"</f>
        <v>Leyla-Sumqayıt Filialina çardırılma</v>
      </c>
      <c r="L704">
        <f>VLOOKUP(D704,Anbar!$A$2:$B$5,2,FALSE)</f>
        <v>1200</v>
      </c>
      <c r="M704">
        <f>VLOOKUP(D704,Anbar!$A$2:$C$5,3,FALSE)</f>
        <v>1800</v>
      </c>
      <c r="N704">
        <f t="shared" si="20"/>
        <v>18000</v>
      </c>
      <c r="O704">
        <f t="shared" si="21"/>
        <v>6000</v>
      </c>
      <c r="P704" t="str">
        <f>IF(AND(F704="Nağd",G704&gt;5),M704*0.9,"0%")</f>
        <v>0%</v>
      </c>
      <c r="Q704" s="9">
        <f>IF(F704="Kredit",EOMONTH(B704,0),"")</f>
        <v>46112</v>
      </c>
      <c r="R704" s="17" t="str">
        <f>TEXT(B704,"dddd")</f>
        <v>Thursday</v>
      </c>
    </row>
    <row r="705" spans="1:18">
      <c r="A705" s="5" t="s">
        <v>712</v>
      </c>
      <c r="B705" s="8">
        <v>46123</v>
      </c>
      <c r="C705" s="5" t="s">
        <v>967</v>
      </c>
      <c r="D705" s="5" t="s">
        <v>20</v>
      </c>
      <c r="E705" s="5" t="s">
        <v>9</v>
      </c>
      <c r="F705" s="5" t="s">
        <v>7</v>
      </c>
      <c r="G705" s="5">
        <v>7</v>
      </c>
      <c r="H705" s="5" t="s">
        <v>963</v>
      </c>
      <c r="I705" s="13">
        <v>554125835</v>
      </c>
      <c r="J705" s="10" t="s">
        <v>1688</v>
      </c>
      <c r="K705" t="str">
        <f>LEFT(C705,FIND(" ",C705)-1)&amp;"-"&amp;E705&amp;" "&amp;"Filialina çardırılma"</f>
        <v>Aysel-Gence Filialina çardırılma</v>
      </c>
      <c r="L705">
        <f>VLOOKUP(D705,Anbar!$A$2:$B$5,2,FALSE)</f>
        <v>15</v>
      </c>
      <c r="M705">
        <f>VLOOKUP(D705,Anbar!$A$2:$C$5,3,FALSE)</f>
        <v>45</v>
      </c>
      <c r="N705">
        <f t="shared" si="20"/>
        <v>315</v>
      </c>
      <c r="O705">
        <f t="shared" si="21"/>
        <v>210</v>
      </c>
      <c r="P705" t="str">
        <f>IF(AND(F705="Nağd",G705&gt;5),M705*0.9,"0%")</f>
        <v>0%</v>
      </c>
      <c r="Q705" s="9" t="str">
        <f>IF(F705="Kredit",EOMONTH(B705,0),"")</f>
        <v/>
      </c>
      <c r="R705" s="17" t="str">
        <f>TEXT(B705,"dddd")</f>
        <v>Saturday</v>
      </c>
    </row>
    <row r="706" spans="1:18">
      <c r="A706" s="5" t="s">
        <v>713</v>
      </c>
      <c r="B706" s="8">
        <v>46121</v>
      </c>
      <c r="C706" s="5" t="s">
        <v>967</v>
      </c>
      <c r="D706" s="5" t="s">
        <v>971</v>
      </c>
      <c r="E706" s="5" t="s">
        <v>980</v>
      </c>
      <c r="F706" s="5" t="s">
        <v>965</v>
      </c>
      <c r="G706" s="5">
        <v>9</v>
      </c>
      <c r="H706" s="5" t="s">
        <v>963</v>
      </c>
      <c r="I706" s="13">
        <v>705606794</v>
      </c>
      <c r="J706" s="10" t="s">
        <v>1689</v>
      </c>
      <c r="K706" t="str">
        <f>LEFT(C706,FIND(" ",C706)-1)&amp;"-"&amp;E706&amp;" "&amp;"Filialina çardırılma"</f>
        <v>Aysel-Sumqayit Filialina çardırılma</v>
      </c>
      <c r="L706">
        <f>VLOOKUP(D706,Anbar!$A$2:$B$5,2,FALSE)</f>
        <v>1200</v>
      </c>
      <c r="M706">
        <f>VLOOKUP(D706,Anbar!$A$2:$C$5,3,FALSE)</f>
        <v>1800</v>
      </c>
      <c r="N706">
        <f t="shared" si="20"/>
        <v>16200</v>
      </c>
      <c r="O706">
        <f t="shared" si="21"/>
        <v>5400</v>
      </c>
      <c r="P706">
        <f>IF(AND(F706="Nağd",G706&gt;5),M706*0.9,"0%")</f>
        <v>1620</v>
      </c>
      <c r="Q706" s="9" t="str">
        <f>IF(F706="Kredit",EOMONTH(B706,0),"")</f>
        <v/>
      </c>
      <c r="R706" s="17" t="str">
        <f>TEXT(B706,"dddd")</f>
        <v>Thursday</v>
      </c>
    </row>
    <row r="707" spans="1:18">
      <c r="A707" s="5" t="s">
        <v>714</v>
      </c>
      <c r="B707" s="8">
        <v>46169</v>
      </c>
      <c r="C707" s="5" t="s">
        <v>977</v>
      </c>
      <c r="D707" s="5" t="s">
        <v>15</v>
      </c>
      <c r="E707" s="5" t="s">
        <v>966</v>
      </c>
      <c r="F707" s="5" t="s">
        <v>4</v>
      </c>
      <c r="G707" s="5">
        <v>1</v>
      </c>
      <c r="H707" s="5" t="s">
        <v>963</v>
      </c>
      <c r="I707" s="13">
        <v>556777114</v>
      </c>
      <c r="J707" s="10" t="s">
        <v>1690</v>
      </c>
      <c r="K707" t="str">
        <f>LEFT(C707,FIND(" ",C707)-1)&amp;"-"&amp;E707&amp;" "&amp;"Filialina çardırılma"</f>
        <v>Elnur-Bakı Filialina çardırılma</v>
      </c>
      <c r="L707">
        <f>VLOOKUP(D707,Anbar!$A$2:$B$5,2,FALSE)</f>
        <v>600</v>
      </c>
      <c r="M707">
        <f>VLOOKUP(D707,Anbar!$A$2:$C$5,3,FALSE)</f>
        <v>950</v>
      </c>
      <c r="N707">
        <f t="shared" ref="N707:N770" si="22">G707*M707</f>
        <v>950</v>
      </c>
      <c r="O707">
        <f t="shared" ref="O707:O770" si="23">(M707-L707)*G707</f>
        <v>350</v>
      </c>
      <c r="P707" t="str">
        <f>IF(AND(F707="Nağd",G707&gt;5),M707*0.9,"0%")</f>
        <v>0%</v>
      </c>
      <c r="Q707" s="9">
        <f>IF(F707="Kredit",EOMONTH(B707,0),"")</f>
        <v>46173</v>
      </c>
      <c r="R707" s="17" t="str">
        <f>TEXT(B707,"dddd")</f>
        <v>Wednesday</v>
      </c>
    </row>
    <row r="708" spans="1:18">
      <c r="A708" s="5" t="s">
        <v>715</v>
      </c>
      <c r="B708" s="8">
        <v>46171</v>
      </c>
      <c r="C708" s="5" t="s">
        <v>967</v>
      </c>
      <c r="D708" s="5" t="s">
        <v>20</v>
      </c>
      <c r="E708" s="5" t="s">
        <v>980</v>
      </c>
      <c r="F708" s="5" t="s">
        <v>7</v>
      </c>
      <c r="G708" s="5">
        <v>2</v>
      </c>
      <c r="H708" s="5" t="s">
        <v>963</v>
      </c>
      <c r="I708" s="13">
        <v>510654702</v>
      </c>
      <c r="J708" s="10" t="s">
        <v>1691</v>
      </c>
      <c r="K708" t="str">
        <f>LEFT(C708,FIND(" ",C708)-1)&amp;"-"&amp;E708&amp;" "&amp;"Filialina çardırılma"</f>
        <v>Aysel-Sumqayit Filialina çardırılma</v>
      </c>
      <c r="L708">
        <f>VLOOKUP(D708,Anbar!$A$2:$B$5,2,FALSE)</f>
        <v>15</v>
      </c>
      <c r="M708">
        <f>VLOOKUP(D708,Anbar!$A$2:$C$5,3,FALSE)</f>
        <v>45</v>
      </c>
      <c r="N708">
        <f t="shared" si="22"/>
        <v>90</v>
      </c>
      <c r="O708">
        <f t="shared" si="23"/>
        <v>60</v>
      </c>
      <c r="P708" t="str">
        <f>IF(AND(F708="Nağd",G708&gt;5),M708*0.9,"0%")</f>
        <v>0%</v>
      </c>
      <c r="Q708" s="9" t="str">
        <f>IF(F708="Kredit",EOMONTH(B708,0),"")</f>
        <v/>
      </c>
      <c r="R708" s="17" t="str">
        <f>TEXT(B708,"dddd")</f>
        <v>Friday</v>
      </c>
    </row>
    <row r="709" spans="1:18">
      <c r="A709" s="5" t="s">
        <v>716</v>
      </c>
      <c r="B709" s="8">
        <v>46105</v>
      </c>
      <c r="C709" s="5" t="s">
        <v>967</v>
      </c>
      <c r="D709" s="5" t="s">
        <v>15</v>
      </c>
      <c r="E709" s="5" t="s">
        <v>964</v>
      </c>
      <c r="F709" s="5" t="s">
        <v>7</v>
      </c>
      <c r="G709" s="5">
        <v>4</v>
      </c>
      <c r="H709" s="5" t="s">
        <v>963</v>
      </c>
      <c r="I709" s="13">
        <v>778067041</v>
      </c>
      <c r="J709" s="10" t="s">
        <v>1692</v>
      </c>
      <c r="K709" t="str">
        <f>LEFT(C709,FIND(" ",C709)-1)&amp;"-"&amp;E709&amp;" "&amp;"Filialina çardırılma"</f>
        <v>Aysel-Sumqayıt Filialina çardırılma</v>
      </c>
      <c r="L709">
        <f>VLOOKUP(D709,Anbar!$A$2:$B$5,2,FALSE)</f>
        <v>600</v>
      </c>
      <c r="M709">
        <f>VLOOKUP(D709,Anbar!$A$2:$C$5,3,FALSE)</f>
        <v>950</v>
      </c>
      <c r="N709">
        <f t="shared" si="22"/>
        <v>3800</v>
      </c>
      <c r="O709">
        <f t="shared" si="23"/>
        <v>1400</v>
      </c>
      <c r="P709" t="str">
        <f>IF(AND(F709="Nağd",G709&gt;5),M709*0.9,"0%")</f>
        <v>0%</v>
      </c>
      <c r="Q709" s="9" t="str">
        <f>IF(F709="Kredit",EOMONTH(B709,0),"")</f>
        <v/>
      </c>
      <c r="R709" s="17" t="str">
        <f>TEXT(B709,"dddd")</f>
        <v>Tuesday</v>
      </c>
    </row>
    <row r="710" spans="1:18">
      <c r="A710" s="5" t="s">
        <v>717</v>
      </c>
      <c r="B710" s="8">
        <v>46166</v>
      </c>
      <c r="C710" s="5" t="s">
        <v>976</v>
      </c>
      <c r="D710" s="5" t="s">
        <v>15</v>
      </c>
      <c r="E710" s="5" t="s">
        <v>9</v>
      </c>
      <c r="F710" s="5" t="s">
        <v>4</v>
      </c>
      <c r="G710" s="5">
        <v>9</v>
      </c>
      <c r="H710" s="5" t="s">
        <v>963</v>
      </c>
      <c r="I710" s="13">
        <v>774316680</v>
      </c>
      <c r="J710" s="10" t="s">
        <v>1693</v>
      </c>
      <c r="K710" t="str">
        <f>LEFT(C710,FIND(" ",C710)-1)&amp;"-"&amp;E710&amp;" "&amp;"Filialina çardırılma"</f>
        <v>Nərgin-Gence Filialina çardırılma</v>
      </c>
      <c r="L710">
        <f>VLOOKUP(D710,Anbar!$A$2:$B$5,2,FALSE)</f>
        <v>600</v>
      </c>
      <c r="M710">
        <f>VLOOKUP(D710,Anbar!$A$2:$C$5,3,FALSE)</f>
        <v>950</v>
      </c>
      <c r="N710">
        <f t="shared" si="22"/>
        <v>8550</v>
      </c>
      <c r="O710">
        <f t="shared" si="23"/>
        <v>3150</v>
      </c>
      <c r="P710" t="str">
        <f>IF(AND(F710="Nağd",G710&gt;5),M710*0.9,"0%")</f>
        <v>0%</v>
      </c>
      <c r="Q710" s="9">
        <f>IF(F710="Kredit",EOMONTH(B710,0),"")</f>
        <v>46173</v>
      </c>
      <c r="R710" s="17" t="str">
        <f>TEXT(B710,"dddd")</f>
        <v>Sunday</v>
      </c>
    </row>
    <row r="711" spans="1:18">
      <c r="A711" s="5" t="s">
        <v>718</v>
      </c>
      <c r="B711" s="8">
        <v>46153</v>
      </c>
      <c r="C711" s="5" t="s">
        <v>978</v>
      </c>
      <c r="D711" s="5" t="s">
        <v>20</v>
      </c>
      <c r="E711" s="5" t="s">
        <v>966</v>
      </c>
      <c r="F711" s="5" t="s">
        <v>965</v>
      </c>
      <c r="G711" s="5">
        <v>10</v>
      </c>
      <c r="H711" s="5" t="s">
        <v>963</v>
      </c>
      <c r="I711" s="13">
        <v>504980600</v>
      </c>
      <c r="J711" s="10" t="s">
        <v>1694</v>
      </c>
      <c r="K711" t="str">
        <f>LEFT(C711,FIND(" ",C711)-1)&amp;"-"&amp;E711&amp;" "&amp;"Filialina çardırılma"</f>
        <v>Əli-Bakı Filialina çardırılma</v>
      </c>
      <c r="L711">
        <f>VLOOKUP(D711,Anbar!$A$2:$B$5,2,FALSE)</f>
        <v>15</v>
      </c>
      <c r="M711">
        <f>VLOOKUP(D711,Anbar!$A$2:$C$5,3,FALSE)</f>
        <v>45</v>
      </c>
      <c r="N711">
        <f t="shared" si="22"/>
        <v>450</v>
      </c>
      <c r="O711">
        <f t="shared" si="23"/>
        <v>300</v>
      </c>
      <c r="P711">
        <f>IF(AND(F711="Nağd",G711&gt;5),M711*0.9,"0%")</f>
        <v>40.5</v>
      </c>
      <c r="Q711" s="9" t="str">
        <f>IF(F711="Kredit",EOMONTH(B711,0),"")</f>
        <v/>
      </c>
      <c r="R711" s="17" t="str">
        <f>TEXT(B711,"dddd")</f>
        <v>Monday</v>
      </c>
    </row>
    <row r="712" spans="1:18">
      <c r="A712" s="5" t="s">
        <v>719</v>
      </c>
      <c r="B712" s="8">
        <v>46111</v>
      </c>
      <c r="C712" s="5" t="s">
        <v>979</v>
      </c>
      <c r="D712" s="5" t="s">
        <v>20</v>
      </c>
      <c r="E712" s="5" t="s">
        <v>982</v>
      </c>
      <c r="F712" s="5" t="s">
        <v>965</v>
      </c>
      <c r="G712" s="5">
        <v>4</v>
      </c>
      <c r="H712" s="5" t="s">
        <v>963</v>
      </c>
      <c r="I712" s="13">
        <v>517562481</v>
      </c>
      <c r="J712" s="10" t="s">
        <v>1695</v>
      </c>
      <c r="K712" t="str">
        <f>LEFT(C712,FIND(" ",C712)-1)&amp;"-"&amp;E712&amp;" "&amp;"Filialina çardırılma"</f>
        <v>Leyla-Baki Filialina çardırılma</v>
      </c>
      <c r="L712">
        <f>VLOOKUP(D712,Anbar!$A$2:$B$5,2,FALSE)</f>
        <v>15</v>
      </c>
      <c r="M712">
        <f>VLOOKUP(D712,Anbar!$A$2:$C$5,3,FALSE)</f>
        <v>45</v>
      </c>
      <c r="N712">
        <f t="shared" si="22"/>
        <v>180</v>
      </c>
      <c r="O712">
        <f t="shared" si="23"/>
        <v>120</v>
      </c>
      <c r="P712" t="str">
        <f>IF(AND(F712="Nağd",G712&gt;5),M712*0.9,"0%")</f>
        <v>0%</v>
      </c>
      <c r="Q712" s="9" t="str">
        <f>IF(F712="Kredit",EOMONTH(B712,0),"")</f>
        <v/>
      </c>
      <c r="R712" s="17" t="str">
        <f>TEXT(B712,"dddd")</f>
        <v>Monday</v>
      </c>
    </row>
    <row r="713" spans="1:18">
      <c r="A713" s="5" t="s">
        <v>720</v>
      </c>
      <c r="B713" s="8">
        <v>46152</v>
      </c>
      <c r="C713" s="5" t="s">
        <v>977</v>
      </c>
      <c r="D713" s="5" t="s">
        <v>20</v>
      </c>
      <c r="E713" s="5" t="s">
        <v>981</v>
      </c>
      <c r="F713" s="5" t="s">
        <v>965</v>
      </c>
      <c r="G713" s="5">
        <v>5</v>
      </c>
      <c r="H713" s="5" t="s">
        <v>963</v>
      </c>
      <c r="I713" s="13">
        <v>707173311</v>
      </c>
      <c r="J713" s="10" t="s">
        <v>1696</v>
      </c>
      <c r="K713" t="str">
        <f>LEFT(C713,FIND(" ",C713)-1)&amp;"-"&amp;E713&amp;" "&amp;"Filialina çardırılma"</f>
        <v>Elnur-Gəncə Filialina çardırılma</v>
      </c>
      <c r="L713">
        <f>VLOOKUP(D713,Anbar!$A$2:$B$5,2,FALSE)</f>
        <v>15</v>
      </c>
      <c r="M713">
        <f>VLOOKUP(D713,Anbar!$A$2:$C$5,3,FALSE)</f>
        <v>45</v>
      </c>
      <c r="N713">
        <f t="shared" si="22"/>
        <v>225</v>
      </c>
      <c r="O713">
        <f t="shared" si="23"/>
        <v>150</v>
      </c>
      <c r="P713" t="str">
        <f>IF(AND(F713="Nağd",G713&gt;5),M713*0.9,"0%")</f>
        <v>0%</v>
      </c>
      <c r="Q713" s="9" t="str">
        <f>IF(F713="Kredit",EOMONTH(B713,0),"")</f>
        <v/>
      </c>
      <c r="R713" s="17" t="str">
        <f>TEXT(B713,"dddd")</f>
        <v>Sunday</v>
      </c>
    </row>
    <row r="714" spans="1:18">
      <c r="A714" s="5" t="s">
        <v>721</v>
      </c>
      <c r="B714" s="8">
        <v>46044</v>
      </c>
      <c r="C714" s="5" t="s">
        <v>976</v>
      </c>
      <c r="D714" s="5" t="s">
        <v>968</v>
      </c>
      <c r="E714" s="5" t="s">
        <v>9</v>
      </c>
      <c r="F714" s="5" t="s">
        <v>4</v>
      </c>
      <c r="G714" s="5">
        <v>10</v>
      </c>
      <c r="H714" s="5" t="s">
        <v>963</v>
      </c>
      <c r="I714" s="13">
        <v>773814258</v>
      </c>
      <c r="J714" s="10" t="s">
        <v>1697</v>
      </c>
      <c r="K714" t="str">
        <f>LEFT(C714,FIND(" ",C714)-1)&amp;"-"&amp;E714&amp;" "&amp;"Filialina çardırılma"</f>
        <v>Nərgin-Gence Filialina çardırılma</v>
      </c>
      <c r="L714">
        <f>VLOOKUP(D714,Anbar!$A$2:$B$5,2,FALSE)</f>
        <v>400</v>
      </c>
      <c r="M714">
        <f>VLOOKUP(D714,Anbar!$A$2:$C$5,3,FALSE)</f>
        <v>650</v>
      </c>
      <c r="N714">
        <f t="shared" si="22"/>
        <v>6500</v>
      </c>
      <c r="O714">
        <f t="shared" si="23"/>
        <v>2500</v>
      </c>
      <c r="P714" t="str">
        <f>IF(AND(F714="Nağd",G714&gt;5),M714*0.9,"0%")</f>
        <v>0%</v>
      </c>
      <c r="Q714" s="9">
        <f>IF(F714="Kredit",EOMONTH(B714,0),"")</f>
        <v>46053</v>
      </c>
      <c r="R714" s="17" t="str">
        <f>TEXT(B714,"dddd")</f>
        <v>Thursday</v>
      </c>
    </row>
    <row r="715" spans="1:18">
      <c r="A715" s="5" t="s">
        <v>722</v>
      </c>
      <c r="B715" s="8">
        <v>46158</v>
      </c>
      <c r="C715" s="5" t="s">
        <v>975</v>
      </c>
      <c r="D715" s="5" t="s">
        <v>971</v>
      </c>
      <c r="E715" s="5" t="s">
        <v>980</v>
      </c>
      <c r="F715" s="5" t="s">
        <v>7</v>
      </c>
      <c r="G715" s="5">
        <v>10</v>
      </c>
      <c r="H715" s="5" t="s">
        <v>963</v>
      </c>
      <c r="I715" s="13">
        <v>503063208</v>
      </c>
      <c r="J715" s="10" t="s">
        <v>1698</v>
      </c>
      <c r="K715" t="str">
        <f>LEFT(C715,FIND(" ",C715)-1)&amp;"-"&amp;E715&amp;" "&amp;"Filialina çardırılma"</f>
        <v>Murad-Sumqayit Filialina çardırılma</v>
      </c>
      <c r="L715">
        <f>VLOOKUP(D715,Anbar!$A$2:$B$5,2,FALSE)</f>
        <v>1200</v>
      </c>
      <c r="M715">
        <f>VLOOKUP(D715,Anbar!$A$2:$C$5,3,FALSE)</f>
        <v>1800</v>
      </c>
      <c r="N715">
        <f t="shared" si="22"/>
        <v>18000</v>
      </c>
      <c r="O715">
        <f t="shared" si="23"/>
        <v>6000</v>
      </c>
      <c r="P715" t="str">
        <f>IF(AND(F715="Nağd",G715&gt;5),M715*0.9,"0%")</f>
        <v>0%</v>
      </c>
      <c r="Q715" s="9" t="str">
        <f>IF(F715="Kredit",EOMONTH(B715,0),"")</f>
        <v/>
      </c>
      <c r="R715" s="17" t="str">
        <f>TEXT(B715,"dddd")</f>
        <v>Saturday</v>
      </c>
    </row>
    <row r="716" spans="1:18">
      <c r="A716" s="5" t="s">
        <v>723</v>
      </c>
      <c r="B716" s="8">
        <v>46095</v>
      </c>
      <c r="C716" s="5" t="s">
        <v>974</v>
      </c>
      <c r="D716" s="5" t="s">
        <v>15</v>
      </c>
      <c r="E716" s="5" t="s">
        <v>9</v>
      </c>
      <c r="F716" s="5" t="s">
        <v>7</v>
      </c>
      <c r="G716" s="5">
        <v>6</v>
      </c>
      <c r="H716" s="5" t="s">
        <v>963</v>
      </c>
      <c r="I716" s="13">
        <v>706365793</v>
      </c>
      <c r="J716" s="10" t="s">
        <v>1699</v>
      </c>
      <c r="K716" t="str">
        <f>LEFT(C716,FIND(" ",C716)-1)&amp;"-"&amp;E716&amp;" "&amp;"Filialina çardırılma"</f>
        <v>Ramil-Gence Filialina çardırılma</v>
      </c>
      <c r="L716">
        <f>VLOOKUP(D716,Anbar!$A$2:$B$5,2,FALSE)</f>
        <v>600</v>
      </c>
      <c r="M716">
        <f>VLOOKUP(D716,Anbar!$A$2:$C$5,3,FALSE)</f>
        <v>950</v>
      </c>
      <c r="N716">
        <f t="shared" si="22"/>
        <v>5700</v>
      </c>
      <c r="O716">
        <f t="shared" si="23"/>
        <v>2100</v>
      </c>
      <c r="P716" t="str">
        <f>IF(AND(F716="Nağd",G716&gt;5),M716*0.9,"0%")</f>
        <v>0%</v>
      </c>
      <c r="Q716" s="9" t="str">
        <f>IF(F716="Kredit",EOMONTH(B716,0),"")</f>
        <v/>
      </c>
      <c r="R716" s="17" t="str">
        <f>TEXT(B716,"dddd")</f>
        <v>Saturday</v>
      </c>
    </row>
    <row r="717" spans="1:18">
      <c r="A717" s="5" t="s">
        <v>724</v>
      </c>
      <c r="B717" s="8">
        <v>46109</v>
      </c>
      <c r="C717" s="5" t="s">
        <v>975</v>
      </c>
      <c r="D717" s="5" t="s">
        <v>968</v>
      </c>
      <c r="E717" s="5" t="s">
        <v>964</v>
      </c>
      <c r="F717" s="5" t="s">
        <v>4</v>
      </c>
      <c r="G717" s="5">
        <v>2</v>
      </c>
      <c r="H717" s="5" t="s">
        <v>963</v>
      </c>
      <c r="I717" s="13">
        <v>777154260</v>
      </c>
      <c r="J717" s="10" t="s">
        <v>1700</v>
      </c>
      <c r="K717" t="str">
        <f>LEFT(C717,FIND(" ",C717)-1)&amp;"-"&amp;E717&amp;" "&amp;"Filialina çardırılma"</f>
        <v>Murad-Sumqayıt Filialina çardırılma</v>
      </c>
      <c r="L717">
        <f>VLOOKUP(D717,Anbar!$A$2:$B$5,2,FALSE)</f>
        <v>400</v>
      </c>
      <c r="M717">
        <f>VLOOKUP(D717,Anbar!$A$2:$C$5,3,FALSE)</f>
        <v>650</v>
      </c>
      <c r="N717">
        <f t="shared" si="22"/>
        <v>1300</v>
      </c>
      <c r="O717">
        <f t="shared" si="23"/>
        <v>500</v>
      </c>
      <c r="P717" t="str">
        <f>IF(AND(F717="Nağd",G717&gt;5),M717*0.9,"0%")</f>
        <v>0%</v>
      </c>
      <c r="Q717" s="9">
        <f>IF(F717="Kredit",EOMONTH(B717,0),"")</f>
        <v>46112</v>
      </c>
      <c r="R717" s="17" t="str">
        <f>TEXT(B717,"dddd")</f>
        <v>Saturday</v>
      </c>
    </row>
    <row r="718" spans="1:18">
      <c r="A718" s="5" t="s">
        <v>725</v>
      </c>
      <c r="B718" s="8">
        <v>46059</v>
      </c>
      <c r="C718" s="5" t="s">
        <v>976</v>
      </c>
      <c r="D718" s="5" t="s">
        <v>971</v>
      </c>
      <c r="E718" s="5" t="s">
        <v>982</v>
      </c>
      <c r="F718" s="5" t="s">
        <v>965</v>
      </c>
      <c r="G718" s="5">
        <v>7</v>
      </c>
      <c r="H718" s="5" t="s">
        <v>963</v>
      </c>
      <c r="I718" s="13">
        <v>514452414</v>
      </c>
      <c r="J718" s="10" t="s">
        <v>1701</v>
      </c>
      <c r="K718" t="str">
        <f>LEFT(C718,FIND(" ",C718)-1)&amp;"-"&amp;E718&amp;" "&amp;"Filialina çardırılma"</f>
        <v>Nərgin-Baki Filialina çardırılma</v>
      </c>
      <c r="L718">
        <f>VLOOKUP(D718,Anbar!$A$2:$B$5,2,FALSE)</f>
        <v>1200</v>
      </c>
      <c r="M718">
        <f>VLOOKUP(D718,Anbar!$A$2:$C$5,3,FALSE)</f>
        <v>1800</v>
      </c>
      <c r="N718">
        <f t="shared" si="22"/>
        <v>12600</v>
      </c>
      <c r="O718">
        <f t="shared" si="23"/>
        <v>4200</v>
      </c>
      <c r="P718">
        <f>IF(AND(F718="Nağd",G718&gt;5),M718*0.9,"0%")</f>
        <v>1620</v>
      </c>
      <c r="Q718" s="9" t="str">
        <f>IF(F718="Kredit",EOMONTH(B718,0),"")</f>
        <v/>
      </c>
      <c r="R718" s="17" t="str">
        <f>TEXT(B718,"dddd")</f>
        <v>Friday</v>
      </c>
    </row>
    <row r="719" spans="1:18">
      <c r="A719" s="5" t="s">
        <v>726</v>
      </c>
      <c r="B719" s="8">
        <v>46053</v>
      </c>
      <c r="C719" s="5" t="s">
        <v>967</v>
      </c>
      <c r="D719" s="5" t="s">
        <v>15</v>
      </c>
      <c r="E719" s="5" t="s">
        <v>980</v>
      </c>
      <c r="F719" s="5" t="s">
        <v>965</v>
      </c>
      <c r="G719" s="5">
        <v>1</v>
      </c>
      <c r="H719" s="5" t="s">
        <v>963</v>
      </c>
      <c r="I719" s="13">
        <v>777626364</v>
      </c>
      <c r="J719" s="10" t="s">
        <v>1702</v>
      </c>
      <c r="K719" t="str">
        <f>LEFT(C719,FIND(" ",C719)-1)&amp;"-"&amp;E719&amp;" "&amp;"Filialina çardırılma"</f>
        <v>Aysel-Sumqayit Filialina çardırılma</v>
      </c>
      <c r="L719">
        <f>VLOOKUP(D719,Anbar!$A$2:$B$5,2,FALSE)</f>
        <v>600</v>
      </c>
      <c r="M719">
        <f>VLOOKUP(D719,Anbar!$A$2:$C$5,3,FALSE)</f>
        <v>950</v>
      </c>
      <c r="N719">
        <f t="shared" si="22"/>
        <v>950</v>
      </c>
      <c r="O719">
        <f t="shared" si="23"/>
        <v>350</v>
      </c>
      <c r="P719" t="str">
        <f>IF(AND(F719="Nağd",G719&gt;5),M719*0.9,"0%")</f>
        <v>0%</v>
      </c>
      <c r="Q719" s="9" t="str">
        <f>IF(F719="Kredit",EOMONTH(B719,0),"")</f>
        <v/>
      </c>
      <c r="R719" s="17" t="str">
        <f>TEXT(B719,"dddd")</f>
        <v>Saturday</v>
      </c>
    </row>
    <row r="720" spans="1:18">
      <c r="A720" s="5" t="s">
        <v>727</v>
      </c>
      <c r="B720" s="8">
        <v>46127</v>
      </c>
      <c r="C720" s="5" t="s">
        <v>976</v>
      </c>
      <c r="D720" s="5" t="s">
        <v>968</v>
      </c>
      <c r="E720" s="5" t="s">
        <v>964</v>
      </c>
      <c r="F720" s="5" t="s">
        <v>4</v>
      </c>
      <c r="G720" s="5">
        <v>4</v>
      </c>
      <c r="H720" s="5" t="s">
        <v>963</v>
      </c>
      <c r="I720" s="13">
        <v>551520819</v>
      </c>
      <c r="J720" s="10" t="s">
        <v>1703</v>
      </c>
      <c r="K720" t="str">
        <f>LEFT(C720,FIND(" ",C720)-1)&amp;"-"&amp;E720&amp;" "&amp;"Filialina çardırılma"</f>
        <v>Nərgin-Sumqayıt Filialina çardırılma</v>
      </c>
      <c r="L720">
        <f>VLOOKUP(D720,Anbar!$A$2:$B$5,2,FALSE)</f>
        <v>400</v>
      </c>
      <c r="M720">
        <f>VLOOKUP(D720,Anbar!$A$2:$C$5,3,FALSE)</f>
        <v>650</v>
      </c>
      <c r="N720">
        <f t="shared" si="22"/>
        <v>2600</v>
      </c>
      <c r="O720">
        <f t="shared" si="23"/>
        <v>1000</v>
      </c>
      <c r="P720" t="str">
        <f>IF(AND(F720="Nağd",G720&gt;5),M720*0.9,"0%")</f>
        <v>0%</v>
      </c>
      <c r="Q720" s="9">
        <f>IF(F720="Kredit",EOMONTH(B720,0),"")</f>
        <v>46142</v>
      </c>
      <c r="R720" s="17" t="str">
        <f>TEXT(B720,"dddd")</f>
        <v>Wednesday</v>
      </c>
    </row>
    <row r="721" spans="1:18">
      <c r="A721" s="5" t="s">
        <v>728</v>
      </c>
      <c r="B721" s="8">
        <v>46041</v>
      </c>
      <c r="C721" s="5" t="s">
        <v>979</v>
      </c>
      <c r="D721" s="5" t="s">
        <v>968</v>
      </c>
      <c r="E721" s="5" t="s">
        <v>966</v>
      </c>
      <c r="F721" s="5" t="s">
        <v>983</v>
      </c>
      <c r="G721" s="5">
        <v>5</v>
      </c>
      <c r="H721" s="5" t="s">
        <v>963</v>
      </c>
      <c r="I721" s="13">
        <v>504405569</v>
      </c>
      <c r="J721" s="10" t="s">
        <v>1704</v>
      </c>
      <c r="K721" t="str">
        <f>LEFT(C721,FIND(" ",C721)-1)&amp;"-"&amp;E721&amp;" "&amp;"Filialina çardırılma"</f>
        <v>Leyla-Bakı Filialina çardırılma</v>
      </c>
      <c r="L721">
        <f>VLOOKUP(D721,Anbar!$A$2:$B$5,2,FALSE)</f>
        <v>400</v>
      </c>
      <c r="M721">
        <f>VLOOKUP(D721,Anbar!$A$2:$C$5,3,FALSE)</f>
        <v>650</v>
      </c>
      <c r="N721">
        <f t="shared" si="22"/>
        <v>3250</v>
      </c>
      <c r="O721">
        <f t="shared" si="23"/>
        <v>1250</v>
      </c>
      <c r="P721" t="str">
        <f>IF(AND(F721="Nağd",G721&gt;5),M721*0.9,"0%")</f>
        <v>0%</v>
      </c>
      <c r="Q721" s="9" t="str">
        <f>IF(F721="Kredit",EOMONTH(B721,0),"")</f>
        <v/>
      </c>
      <c r="R721" s="17" t="str">
        <f>TEXT(B721,"dddd")</f>
        <v>Monday</v>
      </c>
    </row>
    <row r="722" spans="1:18">
      <c r="A722" s="5" t="s">
        <v>729</v>
      </c>
      <c r="B722" s="8">
        <v>46083</v>
      </c>
      <c r="C722" s="5" t="s">
        <v>967</v>
      </c>
      <c r="D722" s="5" t="s">
        <v>20</v>
      </c>
      <c r="E722" s="5" t="s">
        <v>966</v>
      </c>
      <c r="F722" s="5" t="s">
        <v>965</v>
      </c>
      <c r="G722" s="5">
        <v>10</v>
      </c>
      <c r="H722" s="5" t="s">
        <v>963</v>
      </c>
      <c r="I722" s="13">
        <v>502887853</v>
      </c>
      <c r="J722" s="10" t="s">
        <v>1705</v>
      </c>
      <c r="K722" t="str">
        <f>LEFT(C722,FIND(" ",C722)-1)&amp;"-"&amp;E722&amp;" "&amp;"Filialina çardırılma"</f>
        <v>Aysel-Bakı Filialina çardırılma</v>
      </c>
      <c r="L722">
        <f>VLOOKUP(D722,Anbar!$A$2:$B$5,2,FALSE)</f>
        <v>15</v>
      </c>
      <c r="M722">
        <f>VLOOKUP(D722,Anbar!$A$2:$C$5,3,FALSE)</f>
        <v>45</v>
      </c>
      <c r="N722">
        <f t="shared" si="22"/>
        <v>450</v>
      </c>
      <c r="O722">
        <f t="shared" si="23"/>
        <v>300</v>
      </c>
      <c r="P722">
        <f>IF(AND(F722="Nağd",G722&gt;5),M722*0.9,"0%")</f>
        <v>40.5</v>
      </c>
      <c r="Q722" s="9" t="str">
        <f>IF(F722="Kredit",EOMONTH(B722,0),"")</f>
        <v/>
      </c>
      <c r="R722" s="17" t="str">
        <f>TEXT(B722,"dddd")</f>
        <v>Monday</v>
      </c>
    </row>
    <row r="723" spans="1:18">
      <c r="A723" s="5" t="s">
        <v>730</v>
      </c>
      <c r="B723" s="8">
        <v>46121</v>
      </c>
      <c r="C723" s="5" t="s">
        <v>974</v>
      </c>
      <c r="D723" s="5" t="s">
        <v>20</v>
      </c>
      <c r="E723" s="5" t="s">
        <v>9</v>
      </c>
      <c r="F723" s="5" t="s">
        <v>4</v>
      </c>
      <c r="G723" s="5">
        <v>4</v>
      </c>
      <c r="H723" s="5" t="s">
        <v>963</v>
      </c>
      <c r="I723" s="13">
        <v>516734409</v>
      </c>
      <c r="J723" s="10" t="s">
        <v>1706</v>
      </c>
      <c r="K723" t="str">
        <f>LEFT(C723,FIND(" ",C723)-1)&amp;"-"&amp;E723&amp;" "&amp;"Filialina çardırılma"</f>
        <v>Ramil-Gence Filialina çardırılma</v>
      </c>
      <c r="L723">
        <f>VLOOKUP(D723,Anbar!$A$2:$B$5,2,FALSE)</f>
        <v>15</v>
      </c>
      <c r="M723">
        <f>VLOOKUP(D723,Anbar!$A$2:$C$5,3,FALSE)</f>
        <v>45</v>
      </c>
      <c r="N723">
        <f t="shared" si="22"/>
        <v>180</v>
      </c>
      <c r="O723">
        <f t="shared" si="23"/>
        <v>120</v>
      </c>
      <c r="P723" t="str">
        <f>IF(AND(F723="Nağd",G723&gt;5),M723*0.9,"0%")</f>
        <v>0%</v>
      </c>
      <c r="Q723" s="9">
        <f>IF(F723="Kredit",EOMONTH(B723,0),"")</f>
        <v>46142</v>
      </c>
      <c r="R723" s="17" t="str">
        <f>TEXT(B723,"dddd")</f>
        <v>Thursday</v>
      </c>
    </row>
    <row r="724" spans="1:18">
      <c r="A724" s="5" t="s">
        <v>731</v>
      </c>
      <c r="B724" s="8">
        <v>46114</v>
      </c>
      <c r="C724" s="5" t="s">
        <v>976</v>
      </c>
      <c r="D724" s="5" t="s">
        <v>971</v>
      </c>
      <c r="E724" s="5" t="s">
        <v>982</v>
      </c>
      <c r="F724" s="5" t="s">
        <v>4</v>
      </c>
      <c r="G724" s="5">
        <v>5</v>
      </c>
      <c r="H724" s="5" t="s">
        <v>963</v>
      </c>
      <c r="I724" s="13">
        <v>770397542</v>
      </c>
      <c r="J724" s="10" t="s">
        <v>1707</v>
      </c>
      <c r="K724" t="str">
        <f>LEFT(C724,FIND(" ",C724)-1)&amp;"-"&amp;E724&amp;" "&amp;"Filialina çardırılma"</f>
        <v>Nərgin-Baki Filialina çardırılma</v>
      </c>
      <c r="L724">
        <f>VLOOKUP(D724,Anbar!$A$2:$B$5,2,FALSE)</f>
        <v>1200</v>
      </c>
      <c r="M724">
        <f>VLOOKUP(D724,Anbar!$A$2:$C$5,3,FALSE)</f>
        <v>1800</v>
      </c>
      <c r="N724">
        <f t="shared" si="22"/>
        <v>9000</v>
      </c>
      <c r="O724">
        <f t="shared" si="23"/>
        <v>3000</v>
      </c>
      <c r="P724" t="str">
        <f>IF(AND(F724="Nağd",G724&gt;5),M724*0.9,"0%")</f>
        <v>0%</v>
      </c>
      <c r="Q724" s="9">
        <f>IF(F724="Kredit",EOMONTH(B724,0),"")</f>
        <v>46142</v>
      </c>
      <c r="R724" s="17" t="str">
        <f>TEXT(B724,"dddd")</f>
        <v>Thursday</v>
      </c>
    </row>
    <row r="725" spans="1:18">
      <c r="A725" s="5" t="s">
        <v>732</v>
      </c>
      <c r="B725" s="8">
        <v>46162</v>
      </c>
      <c r="C725" s="5" t="s">
        <v>6</v>
      </c>
      <c r="D725" s="5" t="s">
        <v>20</v>
      </c>
      <c r="E725" s="5" t="s">
        <v>981</v>
      </c>
      <c r="F725" s="5" t="s">
        <v>4</v>
      </c>
      <c r="G725" s="5">
        <v>1</v>
      </c>
      <c r="H725" s="5" t="s">
        <v>963</v>
      </c>
      <c r="I725" s="13">
        <v>504961109</v>
      </c>
      <c r="J725" s="10" t="s">
        <v>1708</v>
      </c>
      <c r="K725" t="str">
        <f>LEFT(C725,FIND(" ",C725)-1)&amp;"-"&amp;E725&amp;" "&amp;"Filialina çardırılma"</f>
        <v>Zaur-Gəncə Filialina çardırılma</v>
      </c>
      <c r="L725">
        <f>VLOOKUP(D725,Anbar!$A$2:$B$5,2,FALSE)</f>
        <v>15</v>
      </c>
      <c r="M725">
        <f>VLOOKUP(D725,Anbar!$A$2:$C$5,3,FALSE)</f>
        <v>45</v>
      </c>
      <c r="N725">
        <f t="shared" si="22"/>
        <v>45</v>
      </c>
      <c r="O725">
        <f t="shared" si="23"/>
        <v>30</v>
      </c>
      <c r="P725" t="str">
        <f>IF(AND(F725="Nağd",G725&gt;5),M725*0.9,"0%")</f>
        <v>0%</v>
      </c>
      <c r="Q725" s="9">
        <f>IF(F725="Kredit",EOMONTH(B725,0),"")</f>
        <v>46173</v>
      </c>
      <c r="R725" s="17" t="str">
        <f>TEXT(B725,"dddd")</f>
        <v>Wednesday</v>
      </c>
    </row>
    <row r="726" spans="1:18">
      <c r="A726" s="5" t="s">
        <v>733</v>
      </c>
      <c r="B726" s="8">
        <v>46079</v>
      </c>
      <c r="C726" s="5" t="s">
        <v>978</v>
      </c>
      <c r="D726" s="5" t="s">
        <v>15</v>
      </c>
      <c r="E726" s="5" t="s">
        <v>982</v>
      </c>
      <c r="F726" s="5" t="s">
        <v>965</v>
      </c>
      <c r="G726" s="5">
        <v>6</v>
      </c>
      <c r="H726" s="5" t="s">
        <v>963</v>
      </c>
      <c r="I726" s="13">
        <v>774245246</v>
      </c>
      <c r="J726" s="10" t="s">
        <v>1709</v>
      </c>
      <c r="K726" t="str">
        <f>LEFT(C726,FIND(" ",C726)-1)&amp;"-"&amp;E726&amp;" "&amp;"Filialina çardırılma"</f>
        <v>Əli-Baki Filialina çardırılma</v>
      </c>
      <c r="L726">
        <f>VLOOKUP(D726,Anbar!$A$2:$B$5,2,FALSE)</f>
        <v>600</v>
      </c>
      <c r="M726">
        <f>VLOOKUP(D726,Anbar!$A$2:$C$5,3,FALSE)</f>
        <v>950</v>
      </c>
      <c r="N726">
        <f t="shared" si="22"/>
        <v>5700</v>
      </c>
      <c r="O726">
        <f t="shared" si="23"/>
        <v>2100</v>
      </c>
      <c r="P726">
        <f>IF(AND(F726="Nağd",G726&gt;5),M726*0.9,"0%")</f>
        <v>855</v>
      </c>
      <c r="Q726" s="9" t="str">
        <f>IF(F726="Kredit",EOMONTH(B726,0),"")</f>
        <v/>
      </c>
      <c r="R726" s="17" t="str">
        <f>TEXT(B726,"dddd")</f>
        <v>Thursday</v>
      </c>
    </row>
    <row r="727" spans="1:18">
      <c r="A727" s="5" t="s">
        <v>734</v>
      </c>
      <c r="B727" s="8">
        <v>46077</v>
      </c>
      <c r="C727" s="5" t="s">
        <v>967</v>
      </c>
      <c r="D727" s="5" t="s">
        <v>971</v>
      </c>
      <c r="E727" s="5" t="s">
        <v>981</v>
      </c>
      <c r="F727" s="5" t="s">
        <v>965</v>
      </c>
      <c r="G727" s="5">
        <v>7</v>
      </c>
      <c r="H727" s="5" t="s">
        <v>963</v>
      </c>
      <c r="I727" s="13">
        <v>519976627</v>
      </c>
      <c r="J727" s="10" t="s">
        <v>1710</v>
      </c>
      <c r="K727" t="str">
        <f>LEFT(C727,FIND(" ",C727)-1)&amp;"-"&amp;E727&amp;" "&amp;"Filialina çardırılma"</f>
        <v>Aysel-Gəncə Filialina çardırılma</v>
      </c>
      <c r="L727">
        <f>VLOOKUP(D727,Anbar!$A$2:$B$5,2,FALSE)</f>
        <v>1200</v>
      </c>
      <c r="M727">
        <f>VLOOKUP(D727,Anbar!$A$2:$C$5,3,FALSE)</f>
        <v>1800</v>
      </c>
      <c r="N727">
        <f t="shared" si="22"/>
        <v>12600</v>
      </c>
      <c r="O727">
        <f t="shared" si="23"/>
        <v>4200</v>
      </c>
      <c r="P727">
        <f>IF(AND(F727="Nağd",G727&gt;5),M727*0.9,"0%")</f>
        <v>1620</v>
      </c>
      <c r="Q727" s="9" t="str">
        <f>IF(F727="Kredit",EOMONTH(B727,0),"")</f>
        <v/>
      </c>
      <c r="R727" s="17" t="str">
        <f>TEXT(B727,"dddd")</f>
        <v>Tuesday</v>
      </c>
    </row>
    <row r="728" spans="1:18">
      <c r="A728" s="5" t="s">
        <v>735</v>
      </c>
      <c r="B728" s="8">
        <v>46093</v>
      </c>
      <c r="C728" s="5" t="s">
        <v>977</v>
      </c>
      <c r="D728" s="5" t="s">
        <v>968</v>
      </c>
      <c r="E728" s="5" t="s">
        <v>966</v>
      </c>
      <c r="F728" s="5" t="s">
        <v>4</v>
      </c>
      <c r="G728" s="5">
        <v>10</v>
      </c>
      <c r="H728" s="5" t="s">
        <v>963</v>
      </c>
      <c r="I728" s="13">
        <v>509560772</v>
      </c>
      <c r="J728" s="10" t="s">
        <v>1711</v>
      </c>
      <c r="K728" t="str">
        <f>LEFT(C728,FIND(" ",C728)-1)&amp;"-"&amp;E728&amp;" "&amp;"Filialina çardırılma"</f>
        <v>Elnur-Bakı Filialina çardırılma</v>
      </c>
      <c r="L728">
        <f>VLOOKUP(D728,Anbar!$A$2:$B$5,2,FALSE)</f>
        <v>400</v>
      </c>
      <c r="M728">
        <f>VLOOKUP(D728,Anbar!$A$2:$C$5,3,FALSE)</f>
        <v>650</v>
      </c>
      <c r="N728">
        <f t="shared" si="22"/>
        <v>6500</v>
      </c>
      <c r="O728">
        <f t="shared" si="23"/>
        <v>2500</v>
      </c>
      <c r="P728" t="str">
        <f>IF(AND(F728="Nağd",G728&gt;5),M728*0.9,"0%")</f>
        <v>0%</v>
      </c>
      <c r="Q728" s="9">
        <f>IF(F728="Kredit",EOMONTH(B728,0),"")</f>
        <v>46112</v>
      </c>
      <c r="R728" s="17" t="str">
        <f>TEXT(B728,"dddd")</f>
        <v>Thursday</v>
      </c>
    </row>
    <row r="729" spans="1:18">
      <c r="A729" s="5" t="s">
        <v>736</v>
      </c>
      <c r="B729" s="8">
        <v>46160</v>
      </c>
      <c r="C729" s="5" t="s">
        <v>978</v>
      </c>
      <c r="D729" s="5" t="s">
        <v>971</v>
      </c>
      <c r="E729" s="5" t="s">
        <v>981</v>
      </c>
      <c r="F729" s="5" t="s">
        <v>965</v>
      </c>
      <c r="G729" s="5">
        <v>2</v>
      </c>
      <c r="H729" s="5" t="s">
        <v>963</v>
      </c>
      <c r="I729" s="13">
        <v>703043418</v>
      </c>
      <c r="J729" s="10" t="s">
        <v>1712</v>
      </c>
      <c r="K729" t="str">
        <f>LEFT(C729,FIND(" ",C729)-1)&amp;"-"&amp;E729&amp;" "&amp;"Filialina çardırılma"</f>
        <v>Əli-Gəncə Filialina çardırılma</v>
      </c>
      <c r="L729">
        <f>VLOOKUP(D729,Anbar!$A$2:$B$5,2,FALSE)</f>
        <v>1200</v>
      </c>
      <c r="M729">
        <f>VLOOKUP(D729,Anbar!$A$2:$C$5,3,FALSE)</f>
        <v>1800</v>
      </c>
      <c r="N729">
        <f t="shared" si="22"/>
        <v>3600</v>
      </c>
      <c r="O729">
        <f t="shared" si="23"/>
        <v>1200</v>
      </c>
      <c r="P729" t="str">
        <f>IF(AND(F729="Nağd",G729&gt;5),M729*0.9,"0%")</f>
        <v>0%</v>
      </c>
      <c r="Q729" s="9" t="str">
        <f>IF(F729="Kredit",EOMONTH(B729,0),"")</f>
        <v/>
      </c>
      <c r="R729" s="17" t="str">
        <f>TEXT(B729,"dddd")</f>
        <v>Monday</v>
      </c>
    </row>
    <row r="730" spans="1:18">
      <c r="A730" s="5" t="s">
        <v>737</v>
      </c>
      <c r="B730" s="8">
        <v>46174</v>
      </c>
      <c r="C730" s="5" t="s">
        <v>979</v>
      </c>
      <c r="D730" s="5" t="s">
        <v>968</v>
      </c>
      <c r="E730" s="5" t="s">
        <v>9</v>
      </c>
      <c r="F730" s="5" t="s">
        <v>965</v>
      </c>
      <c r="G730" s="5">
        <v>6</v>
      </c>
      <c r="H730" s="5" t="s">
        <v>963</v>
      </c>
      <c r="I730" s="13">
        <v>554584509</v>
      </c>
      <c r="J730" s="10" t="s">
        <v>1713</v>
      </c>
      <c r="K730" t="str">
        <f>LEFT(C730,FIND(" ",C730)-1)&amp;"-"&amp;E730&amp;" "&amp;"Filialina çardırılma"</f>
        <v>Leyla-Gence Filialina çardırılma</v>
      </c>
      <c r="L730">
        <f>VLOOKUP(D730,Anbar!$A$2:$B$5,2,FALSE)</f>
        <v>400</v>
      </c>
      <c r="M730">
        <f>VLOOKUP(D730,Anbar!$A$2:$C$5,3,FALSE)</f>
        <v>650</v>
      </c>
      <c r="N730">
        <f t="shared" si="22"/>
        <v>3900</v>
      </c>
      <c r="O730">
        <f t="shared" si="23"/>
        <v>1500</v>
      </c>
      <c r="P730">
        <f>IF(AND(F730="Nağd",G730&gt;5),M730*0.9,"0%")</f>
        <v>585</v>
      </c>
      <c r="Q730" s="9" t="str">
        <f>IF(F730="Kredit",EOMONTH(B730,0),"")</f>
        <v/>
      </c>
      <c r="R730" s="17" t="str">
        <f>TEXT(B730,"dddd")</f>
        <v>Monday</v>
      </c>
    </row>
    <row r="731" spans="1:18">
      <c r="A731" s="5" t="s">
        <v>738</v>
      </c>
      <c r="B731" s="8">
        <v>46046</v>
      </c>
      <c r="C731" s="5" t="s">
        <v>974</v>
      </c>
      <c r="D731" s="5" t="s">
        <v>20</v>
      </c>
      <c r="E731" s="5" t="s">
        <v>980</v>
      </c>
      <c r="F731" s="5" t="s">
        <v>965</v>
      </c>
      <c r="G731" s="5">
        <v>1</v>
      </c>
      <c r="H731" s="5" t="s">
        <v>963</v>
      </c>
      <c r="I731" s="13">
        <v>509988263</v>
      </c>
      <c r="J731" s="10" t="s">
        <v>1714</v>
      </c>
      <c r="K731" t="str">
        <f>LEFT(C731,FIND(" ",C731)-1)&amp;"-"&amp;E731&amp;" "&amp;"Filialina çardırılma"</f>
        <v>Ramil-Sumqayit Filialina çardırılma</v>
      </c>
      <c r="L731">
        <f>VLOOKUP(D731,Anbar!$A$2:$B$5,2,FALSE)</f>
        <v>15</v>
      </c>
      <c r="M731">
        <f>VLOOKUP(D731,Anbar!$A$2:$C$5,3,FALSE)</f>
        <v>45</v>
      </c>
      <c r="N731">
        <f t="shared" si="22"/>
        <v>45</v>
      </c>
      <c r="O731">
        <f t="shared" si="23"/>
        <v>30</v>
      </c>
      <c r="P731" t="str">
        <f>IF(AND(F731="Nağd",G731&gt;5),M731*0.9,"0%")</f>
        <v>0%</v>
      </c>
      <c r="Q731" s="9" t="str">
        <f>IF(F731="Kredit",EOMONTH(B731,0),"")</f>
        <v/>
      </c>
      <c r="R731" s="17" t="str">
        <f>TEXT(B731,"dddd")</f>
        <v>Saturday</v>
      </c>
    </row>
    <row r="732" spans="1:18">
      <c r="A732" s="5" t="s">
        <v>739</v>
      </c>
      <c r="B732" s="8">
        <v>46153</v>
      </c>
      <c r="C732" s="5" t="s">
        <v>976</v>
      </c>
      <c r="D732" s="5" t="s">
        <v>971</v>
      </c>
      <c r="E732" s="5" t="s">
        <v>981</v>
      </c>
      <c r="F732" s="5" t="s">
        <v>4</v>
      </c>
      <c r="G732" s="5">
        <v>4</v>
      </c>
      <c r="H732" s="5" t="s">
        <v>963</v>
      </c>
      <c r="I732" s="13">
        <v>505027812</v>
      </c>
      <c r="J732" s="10" t="s">
        <v>1715</v>
      </c>
      <c r="K732" t="str">
        <f>LEFT(C732,FIND(" ",C732)-1)&amp;"-"&amp;E732&amp;" "&amp;"Filialina çardırılma"</f>
        <v>Nərgin-Gəncə Filialina çardırılma</v>
      </c>
      <c r="L732">
        <f>VLOOKUP(D732,Anbar!$A$2:$B$5,2,FALSE)</f>
        <v>1200</v>
      </c>
      <c r="M732">
        <f>VLOOKUP(D732,Anbar!$A$2:$C$5,3,FALSE)</f>
        <v>1800</v>
      </c>
      <c r="N732">
        <f t="shared" si="22"/>
        <v>7200</v>
      </c>
      <c r="O732">
        <f t="shared" si="23"/>
        <v>2400</v>
      </c>
      <c r="P732" t="str">
        <f>IF(AND(F732="Nağd",G732&gt;5),M732*0.9,"0%")</f>
        <v>0%</v>
      </c>
      <c r="Q732" s="9">
        <f>IF(F732="Kredit",EOMONTH(B732,0),"")</f>
        <v>46173</v>
      </c>
      <c r="R732" s="17" t="str">
        <f>TEXT(B732,"dddd")</f>
        <v>Monday</v>
      </c>
    </row>
    <row r="733" spans="1:18">
      <c r="A733" s="5" t="s">
        <v>740</v>
      </c>
      <c r="B733" s="8">
        <v>46168</v>
      </c>
      <c r="C733" s="5" t="s">
        <v>978</v>
      </c>
      <c r="D733" s="5" t="s">
        <v>971</v>
      </c>
      <c r="E733" s="5" t="s">
        <v>980</v>
      </c>
      <c r="F733" s="5" t="s">
        <v>4</v>
      </c>
      <c r="G733" s="5">
        <v>10</v>
      </c>
      <c r="H733" s="5" t="s">
        <v>963</v>
      </c>
      <c r="I733" s="13">
        <v>776281683</v>
      </c>
      <c r="J733" s="10" t="s">
        <v>1716</v>
      </c>
      <c r="K733" t="str">
        <f>LEFT(C733,FIND(" ",C733)-1)&amp;"-"&amp;E733&amp;" "&amp;"Filialina çardırılma"</f>
        <v>Əli-Sumqayit Filialina çardırılma</v>
      </c>
      <c r="L733">
        <f>VLOOKUP(D733,Anbar!$A$2:$B$5,2,FALSE)</f>
        <v>1200</v>
      </c>
      <c r="M733">
        <f>VLOOKUP(D733,Anbar!$A$2:$C$5,3,FALSE)</f>
        <v>1800</v>
      </c>
      <c r="N733">
        <f t="shared" si="22"/>
        <v>18000</v>
      </c>
      <c r="O733">
        <f t="shared" si="23"/>
        <v>6000</v>
      </c>
      <c r="P733" t="str">
        <f>IF(AND(F733="Nağd",G733&gt;5),M733*0.9,"0%")</f>
        <v>0%</v>
      </c>
      <c r="Q733" s="9">
        <f>IF(F733="Kredit",EOMONTH(B733,0),"")</f>
        <v>46173</v>
      </c>
      <c r="R733" s="17" t="str">
        <f>TEXT(B733,"dddd")</f>
        <v>Tuesday</v>
      </c>
    </row>
    <row r="734" spans="1:18">
      <c r="A734" s="5" t="s">
        <v>741</v>
      </c>
      <c r="B734" s="8">
        <v>46141</v>
      </c>
      <c r="C734" s="5" t="s">
        <v>975</v>
      </c>
      <c r="D734" s="5" t="s">
        <v>15</v>
      </c>
      <c r="E734" s="5" t="s">
        <v>9</v>
      </c>
      <c r="F734" s="5" t="s">
        <v>965</v>
      </c>
      <c r="G734" s="5">
        <v>9</v>
      </c>
      <c r="H734" s="5" t="s">
        <v>963</v>
      </c>
      <c r="I734" s="13">
        <v>514933670</v>
      </c>
      <c r="J734" s="10" t="s">
        <v>1717</v>
      </c>
      <c r="K734" t="str">
        <f>LEFT(C734,FIND(" ",C734)-1)&amp;"-"&amp;E734&amp;" "&amp;"Filialina çardırılma"</f>
        <v>Murad-Gence Filialina çardırılma</v>
      </c>
      <c r="L734">
        <f>VLOOKUP(D734,Anbar!$A$2:$B$5,2,FALSE)</f>
        <v>600</v>
      </c>
      <c r="M734">
        <f>VLOOKUP(D734,Anbar!$A$2:$C$5,3,FALSE)</f>
        <v>950</v>
      </c>
      <c r="N734">
        <f t="shared" si="22"/>
        <v>8550</v>
      </c>
      <c r="O734">
        <f t="shared" si="23"/>
        <v>3150</v>
      </c>
      <c r="P734">
        <f>IF(AND(F734="Nağd",G734&gt;5),M734*0.9,"0%")</f>
        <v>855</v>
      </c>
      <c r="Q734" s="9" t="str">
        <f>IF(F734="Kredit",EOMONTH(B734,0),"")</f>
        <v/>
      </c>
      <c r="R734" s="17" t="str">
        <f>TEXT(B734,"dddd")</f>
        <v>Wednesday</v>
      </c>
    </row>
    <row r="735" spans="1:18">
      <c r="A735" s="5" t="s">
        <v>742</v>
      </c>
      <c r="B735" s="8">
        <v>46040</v>
      </c>
      <c r="C735" s="5" t="s">
        <v>967</v>
      </c>
      <c r="D735" s="5" t="s">
        <v>20</v>
      </c>
      <c r="E735" s="5" t="s">
        <v>982</v>
      </c>
      <c r="F735" s="5" t="s">
        <v>965</v>
      </c>
      <c r="G735" s="5">
        <v>2</v>
      </c>
      <c r="H735" s="5" t="s">
        <v>963</v>
      </c>
      <c r="I735" s="13">
        <v>519000353</v>
      </c>
      <c r="J735" s="10" t="s">
        <v>1718</v>
      </c>
      <c r="K735" t="str">
        <f>LEFT(C735,FIND(" ",C735)-1)&amp;"-"&amp;E735&amp;" "&amp;"Filialina çardırılma"</f>
        <v>Aysel-Baki Filialina çardırılma</v>
      </c>
      <c r="L735">
        <f>VLOOKUP(D735,Anbar!$A$2:$B$5,2,FALSE)</f>
        <v>15</v>
      </c>
      <c r="M735">
        <f>VLOOKUP(D735,Anbar!$A$2:$C$5,3,FALSE)</f>
        <v>45</v>
      </c>
      <c r="N735">
        <f t="shared" si="22"/>
        <v>90</v>
      </c>
      <c r="O735">
        <f t="shared" si="23"/>
        <v>60</v>
      </c>
      <c r="P735" t="str">
        <f>IF(AND(F735="Nağd",G735&gt;5),M735*0.9,"0%")</f>
        <v>0%</v>
      </c>
      <c r="Q735" s="9" t="str">
        <f>IF(F735="Kredit",EOMONTH(B735,0),"")</f>
        <v/>
      </c>
      <c r="R735" s="17" t="str">
        <f>TEXT(B735,"dddd")</f>
        <v>Sunday</v>
      </c>
    </row>
    <row r="736" spans="1:18">
      <c r="A736" s="5" t="s">
        <v>743</v>
      </c>
      <c r="B736" s="8">
        <v>46065</v>
      </c>
      <c r="C736" s="5" t="s">
        <v>974</v>
      </c>
      <c r="D736" s="5" t="s">
        <v>20</v>
      </c>
      <c r="E736" s="5" t="s">
        <v>983</v>
      </c>
      <c r="F736" s="5" t="s">
        <v>965</v>
      </c>
      <c r="G736" s="5">
        <v>3</v>
      </c>
      <c r="H736" s="5" t="s">
        <v>963</v>
      </c>
      <c r="I736" s="13">
        <v>776231530</v>
      </c>
      <c r="J736" s="10" t="s">
        <v>1719</v>
      </c>
      <c r="K736" t="str">
        <f>LEFT(C736,FIND(" ",C736)-1)&amp;"-"&amp;E736&amp;" "&amp;"Filialina çardırılma"</f>
        <v>Ramil-Naməlum Filialina çardırılma</v>
      </c>
      <c r="L736">
        <f>VLOOKUP(D736,Anbar!$A$2:$B$5,2,FALSE)</f>
        <v>15</v>
      </c>
      <c r="M736">
        <f>VLOOKUP(D736,Anbar!$A$2:$C$5,3,FALSE)</f>
        <v>45</v>
      </c>
      <c r="N736">
        <f t="shared" si="22"/>
        <v>135</v>
      </c>
      <c r="O736">
        <f t="shared" si="23"/>
        <v>90</v>
      </c>
      <c r="P736" t="str">
        <f>IF(AND(F736="Nağd",G736&gt;5),M736*0.9,"0%")</f>
        <v>0%</v>
      </c>
      <c r="Q736" s="9" t="str">
        <f>IF(F736="Kredit",EOMONTH(B736,0),"")</f>
        <v/>
      </c>
      <c r="R736" s="17" t="str">
        <f>TEXT(B736,"dddd")</f>
        <v>Thursday</v>
      </c>
    </row>
    <row r="737" spans="1:18">
      <c r="A737" s="5" t="s">
        <v>744</v>
      </c>
      <c r="B737" s="8">
        <v>46094</v>
      </c>
      <c r="C737" s="5" t="s">
        <v>974</v>
      </c>
      <c r="D737" s="5" t="s">
        <v>15</v>
      </c>
      <c r="E737" s="5" t="s">
        <v>966</v>
      </c>
      <c r="F737" s="5" t="s">
        <v>965</v>
      </c>
      <c r="G737" s="5">
        <v>2</v>
      </c>
      <c r="H737" s="5" t="s">
        <v>963</v>
      </c>
      <c r="I737" s="13">
        <v>559232529</v>
      </c>
      <c r="J737" s="10" t="s">
        <v>1720</v>
      </c>
      <c r="K737" t="str">
        <f>LEFT(C737,FIND(" ",C737)-1)&amp;"-"&amp;E737&amp;" "&amp;"Filialina çardırılma"</f>
        <v>Ramil-Bakı Filialina çardırılma</v>
      </c>
      <c r="L737">
        <f>VLOOKUP(D737,Anbar!$A$2:$B$5,2,FALSE)</f>
        <v>600</v>
      </c>
      <c r="M737">
        <f>VLOOKUP(D737,Anbar!$A$2:$C$5,3,FALSE)</f>
        <v>950</v>
      </c>
      <c r="N737">
        <f t="shared" si="22"/>
        <v>1900</v>
      </c>
      <c r="O737">
        <f t="shared" si="23"/>
        <v>700</v>
      </c>
      <c r="P737" t="str">
        <f>IF(AND(F737="Nağd",G737&gt;5),M737*0.9,"0%")</f>
        <v>0%</v>
      </c>
      <c r="Q737" s="9" t="str">
        <f>IF(F737="Kredit",EOMONTH(B737,0),"")</f>
        <v/>
      </c>
      <c r="R737" s="17" t="str">
        <f>TEXT(B737,"dddd")</f>
        <v>Friday</v>
      </c>
    </row>
    <row r="738" spans="1:18">
      <c r="A738" s="5" t="s">
        <v>745</v>
      </c>
      <c r="B738" s="8">
        <v>46065</v>
      </c>
      <c r="C738" s="5" t="s">
        <v>975</v>
      </c>
      <c r="D738" s="5" t="s">
        <v>15</v>
      </c>
      <c r="E738" s="5" t="s">
        <v>964</v>
      </c>
      <c r="F738" s="5" t="s">
        <v>7</v>
      </c>
      <c r="G738" s="5">
        <v>8</v>
      </c>
      <c r="H738" s="5" t="s">
        <v>963</v>
      </c>
      <c r="I738" s="13">
        <v>705224539</v>
      </c>
      <c r="J738" s="10" t="s">
        <v>1721</v>
      </c>
      <c r="K738" t="str">
        <f>LEFT(C738,FIND(" ",C738)-1)&amp;"-"&amp;E738&amp;" "&amp;"Filialina çardırılma"</f>
        <v>Murad-Sumqayıt Filialina çardırılma</v>
      </c>
      <c r="L738">
        <f>VLOOKUP(D738,Anbar!$A$2:$B$5,2,FALSE)</f>
        <v>600</v>
      </c>
      <c r="M738">
        <f>VLOOKUP(D738,Anbar!$A$2:$C$5,3,FALSE)</f>
        <v>950</v>
      </c>
      <c r="N738">
        <f t="shared" si="22"/>
        <v>7600</v>
      </c>
      <c r="O738">
        <f t="shared" si="23"/>
        <v>2800</v>
      </c>
      <c r="P738" t="str">
        <f>IF(AND(F738="Nağd",G738&gt;5),M738*0.9,"0%")</f>
        <v>0%</v>
      </c>
      <c r="Q738" s="9" t="str">
        <f>IF(F738="Kredit",EOMONTH(B738,0),"")</f>
        <v/>
      </c>
      <c r="R738" s="17" t="str">
        <f>TEXT(B738,"dddd")</f>
        <v>Thursday</v>
      </c>
    </row>
    <row r="739" spans="1:18">
      <c r="A739" s="5" t="s">
        <v>746</v>
      </c>
      <c r="B739" s="8">
        <v>46031</v>
      </c>
      <c r="C739" s="5" t="s">
        <v>975</v>
      </c>
      <c r="D739" s="5" t="s">
        <v>20</v>
      </c>
      <c r="E739" s="5" t="s">
        <v>966</v>
      </c>
      <c r="F739" s="5" t="s">
        <v>7</v>
      </c>
      <c r="G739" s="5">
        <v>1</v>
      </c>
      <c r="H739" s="5" t="s">
        <v>963</v>
      </c>
      <c r="I739" s="13">
        <v>708756342</v>
      </c>
      <c r="J739" s="10" t="s">
        <v>1722</v>
      </c>
      <c r="K739" t="str">
        <f>LEFT(C739,FIND(" ",C739)-1)&amp;"-"&amp;E739&amp;" "&amp;"Filialina çardırılma"</f>
        <v>Murad-Bakı Filialina çardırılma</v>
      </c>
      <c r="L739">
        <f>VLOOKUP(D739,Anbar!$A$2:$B$5,2,FALSE)</f>
        <v>15</v>
      </c>
      <c r="M739">
        <f>VLOOKUP(D739,Anbar!$A$2:$C$5,3,FALSE)</f>
        <v>45</v>
      </c>
      <c r="N739">
        <f t="shared" si="22"/>
        <v>45</v>
      </c>
      <c r="O739">
        <f t="shared" si="23"/>
        <v>30</v>
      </c>
      <c r="P739" t="str">
        <f>IF(AND(F739="Nağd",G739&gt;5),M739*0.9,"0%")</f>
        <v>0%</v>
      </c>
      <c r="Q739" s="9" t="str">
        <f>IF(F739="Kredit",EOMONTH(B739,0),"")</f>
        <v/>
      </c>
      <c r="R739" s="17" t="str">
        <f>TEXT(B739,"dddd")</f>
        <v>Friday</v>
      </c>
    </row>
    <row r="740" spans="1:18">
      <c r="A740" s="5" t="s">
        <v>747</v>
      </c>
      <c r="B740" s="8">
        <v>46101</v>
      </c>
      <c r="C740" s="5" t="s">
        <v>975</v>
      </c>
      <c r="D740" s="5" t="s">
        <v>15</v>
      </c>
      <c r="E740" s="5" t="s">
        <v>980</v>
      </c>
      <c r="F740" s="5" t="s">
        <v>965</v>
      </c>
      <c r="G740" s="5">
        <v>9</v>
      </c>
      <c r="H740" s="5" t="s">
        <v>963</v>
      </c>
      <c r="I740" s="13">
        <v>773516878</v>
      </c>
      <c r="J740" s="10" t="s">
        <v>1723</v>
      </c>
      <c r="K740" t="str">
        <f>LEFT(C740,FIND(" ",C740)-1)&amp;"-"&amp;E740&amp;" "&amp;"Filialina çardırılma"</f>
        <v>Murad-Sumqayit Filialina çardırılma</v>
      </c>
      <c r="L740">
        <f>VLOOKUP(D740,Anbar!$A$2:$B$5,2,FALSE)</f>
        <v>600</v>
      </c>
      <c r="M740">
        <f>VLOOKUP(D740,Anbar!$A$2:$C$5,3,FALSE)</f>
        <v>950</v>
      </c>
      <c r="N740">
        <f t="shared" si="22"/>
        <v>8550</v>
      </c>
      <c r="O740">
        <f t="shared" si="23"/>
        <v>3150</v>
      </c>
      <c r="P740">
        <f>IF(AND(F740="Nağd",G740&gt;5),M740*0.9,"0%")</f>
        <v>855</v>
      </c>
      <c r="Q740" s="9" t="str">
        <f>IF(F740="Kredit",EOMONTH(B740,0),"")</f>
        <v/>
      </c>
      <c r="R740" s="17" t="str">
        <f>TEXT(B740,"dddd")</f>
        <v>Friday</v>
      </c>
    </row>
    <row r="741" spans="1:18">
      <c r="A741" s="5" t="s">
        <v>748</v>
      </c>
      <c r="B741" s="8">
        <v>46141</v>
      </c>
      <c r="C741" s="5" t="s">
        <v>976</v>
      </c>
      <c r="D741" s="5" t="s">
        <v>968</v>
      </c>
      <c r="E741" s="5" t="s">
        <v>966</v>
      </c>
      <c r="F741" s="5" t="s">
        <v>4</v>
      </c>
      <c r="G741" s="5">
        <v>4</v>
      </c>
      <c r="H741" s="5" t="s">
        <v>963</v>
      </c>
      <c r="I741" s="13">
        <v>504541880</v>
      </c>
      <c r="J741" s="10" t="s">
        <v>1724</v>
      </c>
      <c r="K741" t="str">
        <f>LEFT(C741,FIND(" ",C741)-1)&amp;"-"&amp;E741&amp;" "&amp;"Filialina çardırılma"</f>
        <v>Nərgin-Bakı Filialina çardırılma</v>
      </c>
      <c r="L741">
        <f>VLOOKUP(D741,Anbar!$A$2:$B$5,2,FALSE)</f>
        <v>400</v>
      </c>
      <c r="M741">
        <f>VLOOKUP(D741,Anbar!$A$2:$C$5,3,FALSE)</f>
        <v>650</v>
      </c>
      <c r="N741">
        <f t="shared" si="22"/>
        <v>2600</v>
      </c>
      <c r="O741">
        <f t="shared" si="23"/>
        <v>1000</v>
      </c>
      <c r="P741" t="str">
        <f>IF(AND(F741="Nağd",G741&gt;5),M741*0.9,"0%")</f>
        <v>0%</v>
      </c>
      <c r="Q741" s="9">
        <f>IF(F741="Kredit",EOMONTH(B741,0),"")</f>
        <v>46142</v>
      </c>
      <c r="R741" s="17" t="str">
        <f>TEXT(B741,"dddd")</f>
        <v>Wednesday</v>
      </c>
    </row>
    <row r="742" spans="1:18">
      <c r="A742" s="5" t="s">
        <v>749</v>
      </c>
      <c r="B742" s="8">
        <v>46124</v>
      </c>
      <c r="C742" s="5" t="s">
        <v>974</v>
      </c>
      <c r="D742" s="5" t="s">
        <v>968</v>
      </c>
      <c r="E742" s="5" t="s">
        <v>966</v>
      </c>
      <c r="F742" s="5" t="s">
        <v>965</v>
      </c>
      <c r="G742" s="5">
        <v>2</v>
      </c>
      <c r="H742" s="5" t="s">
        <v>963</v>
      </c>
      <c r="I742" s="13">
        <v>506977456</v>
      </c>
      <c r="J742" s="10" t="s">
        <v>1725</v>
      </c>
      <c r="K742" t="str">
        <f>LEFT(C742,FIND(" ",C742)-1)&amp;"-"&amp;E742&amp;" "&amp;"Filialina çardırılma"</f>
        <v>Ramil-Bakı Filialina çardırılma</v>
      </c>
      <c r="L742">
        <f>VLOOKUP(D742,Anbar!$A$2:$B$5,2,FALSE)</f>
        <v>400</v>
      </c>
      <c r="M742">
        <f>VLOOKUP(D742,Anbar!$A$2:$C$5,3,FALSE)</f>
        <v>650</v>
      </c>
      <c r="N742">
        <f t="shared" si="22"/>
        <v>1300</v>
      </c>
      <c r="O742">
        <f t="shared" si="23"/>
        <v>500</v>
      </c>
      <c r="P742" t="str">
        <f>IF(AND(F742="Nağd",G742&gt;5),M742*0.9,"0%")</f>
        <v>0%</v>
      </c>
      <c r="Q742" s="9" t="str">
        <f>IF(F742="Kredit",EOMONTH(B742,0),"")</f>
        <v/>
      </c>
      <c r="R742" s="17" t="str">
        <f>TEXT(B742,"dddd")</f>
        <v>Sunday</v>
      </c>
    </row>
    <row r="743" spans="1:18">
      <c r="A743" s="5" t="s">
        <v>750</v>
      </c>
      <c r="B743" s="8">
        <v>46175</v>
      </c>
      <c r="C743" s="5" t="s">
        <v>975</v>
      </c>
      <c r="D743" s="5" t="s">
        <v>15</v>
      </c>
      <c r="E743" s="5" t="s">
        <v>981</v>
      </c>
      <c r="F743" s="5" t="s">
        <v>7</v>
      </c>
      <c r="G743" s="5">
        <v>2</v>
      </c>
      <c r="H743" s="5" t="s">
        <v>963</v>
      </c>
      <c r="I743" s="13">
        <v>500128117</v>
      </c>
      <c r="J743" s="10" t="s">
        <v>1726</v>
      </c>
      <c r="K743" t="str">
        <f>LEFT(C743,FIND(" ",C743)-1)&amp;"-"&amp;E743&amp;" "&amp;"Filialina çardırılma"</f>
        <v>Murad-Gəncə Filialina çardırılma</v>
      </c>
      <c r="L743">
        <f>VLOOKUP(D743,Anbar!$A$2:$B$5,2,FALSE)</f>
        <v>600</v>
      </c>
      <c r="M743">
        <f>VLOOKUP(D743,Anbar!$A$2:$C$5,3,FALSE)</f>
        <v>950</v>
      </c>
      <c r="N743">
        <f t="shared" si="22"/>
        <v>1900</v>
      </c>
      <c r="O743">
        <f t="shared" si="23"/>
        <v>700</v>
      </c>
      <c r="P743" t="str">
        <f>IF(AND(F743="Nağd",G743&gt;5),M743*0.9,"0%")</f>
        <v>0%</v>
      </c>
      <c r="Q743" s="9" t="str">
        <f>IF(F743="Kredit",EOMONTH(B743,0),"")</f>
        <v/>
      </c>
      <c r="R743" s="17" t="str">
        <f>TEXT(B743,"dddd")</f>
        <v>Tuesday</v>
      </c>
    </row>
    <row r="744" spans="1:18">
      <c r="A744" s="5" t="s">
        <v>751</v>
      </c>
      <c r="B744" s="8">
        <v>46063</v>
      </c>
      <c r="C744" s="5" t="s">
        <v>978</v>
      </c>
      <c r="D744" s="5" t="s">
        <v>15</v>
      </c>
      <c r="E744" s="5" t="s">
        <v>9</v>
      </c>
      <c r="F744" s="5" t="s">
        <v>7</v>
      </c>
      <c r="G744" s="5">
        <v>7</v>
      </c>
      <c r="H744" s="5" t="s">
        <v>963</v>
      </c>
      <c r="I744" s="13">
        <v>514653904</v>
      </c>
      <c r="J744" s="10" t="s">
        <v>1727</v>
      </c>
      <c r="K744" t="str">
        <f>LEFT(C744,FIND(" ",C744)-1)&amp;"-"&amp;E744&amp;" "&amp;"Filialina çardırılma"</f>
        <v>Əli-Gence Filialina çardırılma</v>
      </c>
      <c r="L744">
        <f>VLOOKUP(D744,Anbar!$A$2:$B$5,2,FALSE)</f>
        <v>600</v>
      </c>
      <c r="M744">
        <f>VLOOKUP(D744,Anbar!$A$2:$C$5,3,FALSE)</f>
        <v>950</v>
      </c>
      <c r="N744">
        <f t="shared" si="22"/>
        <v>6650</v>
      </c>
      <c r="O744">
        <f t="shared" si="23"/>
        <v>2450</v>
      </c>
      <c r="P744" t="str">
        <f>IF(AND(F744="Nağd",G744&gt;5),M744*0.9,"0%")</f>
        <v>0%</v>
      </c>
      <c r="Q744" s="9" t="str">
        <f>IF(F744="Kredit",EOMONTH(B744,0),"")</f>
        <v/>
      </c>
      <c r="R744" s="17" t="str">
        <f>TEXT(B744,"dddd")</f>
        <v>Tuesday</v>
      </c>
    </row>
    <row r="745" spans="1:18">
      <c r="A745" s="5" t="s">
        <v>752</v>
      </c>
      <c r="B745" s="8">
        <v>46137</v>
      </c>
      <c r="C745" s="5" t="s">
        <v>979</v>
      </c>
      <c r="D745" s="5" t="s">
        <v>20</v>
      </c>
      <c r="E745" s="5" t="s">
        <v>980</v>
      </c>
      <c r="F745" s="5" t="s">
        <v>4</v>
      </c>
      <c r="G745" s="5">
        <v>6</v>
      </c>
      <c r="H745" s="5" t="s">
        <v>963</v>
      </c>
      <c r="I745" s="13">
        <v>506369688</v>
      </c>
      <c r="J745" s="10" t="s">
        <v>1728</v>
      </c>
      <c r="K745" t="str">
        <f>LEFT(C745,FIND(" ",C745)-1)&amp;"-"&amp;E745&amp;" "&amp;"Filialina çardırılma"</f>
        <v>Leyla-Sumqayit Filialina çardırılma</v>
      </c>
      <c r="L745">
        <f>VLOOKUP(D745,Anbar!$A$2:$B$5,2,FALSE)</f>
        <v>15</v>
      </c>
      <c r="M745">
        <f>VLOOKUP(D745,Anbar!$A$2:$C$5,3,FALSE)</f>
        <v>45</v>
      </c>
      <c r="N745">
        <f t="shared" si="22"/>
        <v>270</v>
      </c>
      <c r="O745">
        <f t="shared" si="23"/>
        <v>180</v>
      </c>
      <c r="P745" t="str">
        <f>IF(AND(F745="Nağd",G745&gt;5),M745*0.9,"0%")</f>
        <v>0%</v>
      </c>
      <c r="Q745" s="9">
        <f>IF(F745="Kredit",EOMONTH(B745,0),"")</f>
        <v>46142</v>
      </c>
      <c r="R745" s="17" t="str">
        <f>TEXT(B745,"dddd")</f>
        <v>Saturday</v>
      </c>
    </row>
    <row r="746" spans="1:18">
      <c r="A746" s="5" t="s">
        <v>753</v>
      </c>
      <c r="B746" s="8">
        <v>46064</v>
      </c>
      <c r="C746" s="5" t="s">
        <v>974</v>
      </c>
      <c r="D746" s="5" t="s">
        <v>15</v>
      </c>
      <c r="E746" s="5" t="s">
        <v>981</v>
      </c>
      <c r="F746" s="5" t="s">
        <v>4</v>
      </c>
      <c r="G746" s="5">
        <v>7</v>
      </c>
      <c r="H746" s="5" t="s">
        <v>963</v>
      </c>
      <c r="I746" s="13">
        <v>513627486</v>
      </c>
      <c r="J746" s="10" t="s">
        <v>1729</v>
      </c>
      <c r="K746" t="str">
        <f>LEFT(C746,FIND(" ",C746)-1)&amp;"-"&amp;E746&amp;" "&amp;"Filialina çardırılma"</f>
        <v>Ramil-Gəncə Filialina çardırılma</v>
      </c>
      <c r="L746">
        <f>VLOOKUP(D746,Anbar!$A$2:$B$5,2,FALSE)</f>
        <v>600</v>
      </c>
      <c r="M746">
        <f>VLOOKUP(D746,Anbar!$A$2:$C$5,3,FALSE)</f>
        <v>950</v>
      </c>
      <c r="N746">
        <f t="shared" si="22"/>
        <v>6650</v>
      </c>
      <c r="O746">
        <f t="shared" si="23"/>
        <v>2450</v>
      </c>
      <c r="P746" t="str">
        <f>IF(AND(F746="Nağd",G746&gt;5),M746*0.9,"0%")</f>
        <v>0%</v>
      </c>
      <c r="Q746" s="9">
        <f>IF(F746="Kredit",EOMONTH(B746,0),"")</f>
        <v>46081</v>
      </c>
      <c r="R746" s="17" t="str">
        <f>TEXT(B746,"dddd")</f>
        <v>Wednesday</v>
      </c>
    </row>
    <row r="747" spans="1:18">
      <c r="A747" s="5" t="s">
        <v>754</v>
      </c>
      <c r="B747" s="8">
        <v>46138</v>
      </c>
      <c r="C747" s="5" t="s">
        <v>979</v>
      </c>
      <c r="D747" s="5" t="s">
        <v>971</v>
      </c>
      <c r="E747" s="5" t="s">
        <v>964</v>
      </c>
      <c r="F747" s="5" t="s">
        <v>4</v>
      </c>
      <c r="G747" s="5">
        <v>5</v>
      </c>
      <c r="H747" s="5" t="s">
        <v>963</v>
      </c>
      <c r="I747" s="13">
        <v>500681846</v>
      </c>
      <c r="J747" s="10" t="s">
        <v>1730</v>
      </c>
      <c r="K747" t="str">
        <f>LEFT(C747,FIND(" ",C747)-1)&amp;"-"&amp;E747&amp;" "&amp;"Filialina çardırılma"</f>
        <v>Leyla-Sumqayıt Filialina çardırılma</v>
      </c>
      <c r="L747">
        <f>VLOOKUP(D747,Anbar!$A$2:$B$5,2,FALSE)</f>
        <v>1200</v>
      </c>
      <c r="M747">
        <f>VLOOKUP(D747,Anbar!$A$2:$C$5,3,FALSE)</f>
        <v>1800</v>
      </c>
      <c r="N747">
        <f t="shared" si="22"/>
        <v>9000</v>
      </c>
      <c r="O747">
        <f t="shared" si="23"/>
        <v>3000</v>
      </c>
      <c r="P747" t="str">
        <f>IF(AND(F747="Nağd",G747&gt;5),M747*0.9,"0%")</f>
        <v>0%</v>
      </c>
      <c r="Q747" s="9">
        <f>IF(F747="Kredit",EOMONTH(B747,0),"")</f>
        <v>46142</v>
      </c>
      <c r="R747" s="17" t="str">
        <f>TEXT(B747,"dddd")</f>
        <v>Sunday</v>
      </c>
    </row>
    <row r="748" spans="1:18">
      <c r="A748" s="5" t="s">
        <v>755</v>
      </c>
      <c r="B748" s="8">
        <v>46107</v>
      </c>
      <c r="C748" s="5" t="s">
        <v>976</v>
      </c>
      <c r="D748" s="5" t="s">
        <v>971</v>
      </c>
      <c r="E748" s="5" t="s">
        <v>982</v>
      </c>
      <c r="F748" s="5" t="s">
        <v>965</v>
      </c>
      <c r="G748" s="5">
        <v>2</v>
      </c>
      <c r="H748" s="5" t="s">
        <v>963</v>
      </c>
      <c r="I748" s="13">
        <v>772715748</v>
      </c>
      <c r="J748" s="10" t="s">
        <v>1731</v>
      </c>
      <c r="K748" t="str">
        <f>LEFT(C748,FIND(" ",C748)-1)&amp;"-"&amp;E748&amp;" "&amp;"Filialina çardırılma"</f>
        <v>Nərgin-Baki Filialina çardırılma</v>
      </c>
      <c r="L748">
        <f>VLOOKUP(D748,Anbar!$A$2:$B$5,2,FALSE)</f>
        <v>1200</v>
      </c>
      <c r="M748">
        <f>VLOOKUP(D748,Anbar!$A$2:$C$5,3,FALSE)</f>
        <v>1800</v>
      </c>
      <c r="N748">
        <f t="shared" si="22"/>
        <v>3600</v>
      </c>
      <c r="O748">
        <f t="shared" si="23"/>
        <v>1200</v>
      </c>
      <c r="P748" t="str">
        <f>IF(AND(F748="Nağd",G748&gt;5),M748*0.9,"0%")</f>
        <v>0%</v>
      </c>
      <c r="Q748" s="9" t="str">
        <f>IF(F748="Kredit",EOMONTH(B748,0),"")</f>
        <v/>
      </c>
      <c r="R748" s="17" t="str">
        <f>TEXT(B748,"dddd")</f>
        <v>Thursday</v>
      </c>
    </row>
    <row r="749" spans="1:18">
      <c r="A749" s="5" t="s">
        <v>756</v>
      </c>
      <c r="B749" s="8">
        <v>46057</v>
      </c>
      <c r="C749" s="5" t="s">
        <v>976</v>
      </c>
      <c r="D749" s="5" t="s">
        <v>15</v>
      </c>
      <c r="E749" s="5" t="s">
        <v>964</v>
      </c>
      <c r="F749" s="5" t="s">
        <v>965</v>
      </c>
      <c r="G749" s="5">
        <v>7</v>
      </c>
      <c r="H749" s="5" t="s">
        <v>963</v>
      </c>
      <c r="I749" s="13">
        <v>707369011</v>
      </c>
      <c r="J749" s="10" t="s">
        <v>1732</v>
      </c>
      <c r="K749" t="str">
        <f>LEFT(C749,FIND(" ",C749)-1)&amp;"-"&amp;E749&amp;" "&amp;"Filialina çardırılma"</f>
        <v>Nərgin-Sumqayıt Filialina çardırılma</v>
      </c>
      <c r="L749">
        <f>VLOOKUP(D749,Anbar!$A$2:$B$5,2,FALSE)</f>
        <v>600</v>
      </c>
      <c r="M749">
        <f>VLOOKUP(D749,Anbar!$A$2:$C$5,3,FALSE)</f>
        <v>950</v>
      </c>
      <c r="N749">
        <f t="shared" si="22"/>
        <v>6650</v>
      </c>
      <c r="O749">
        <f t="shared" si="23"/>
        <v>2450</v>
      </c>
      <c r="P749">
        <f>IF(AND(F749="Nağd",G749&gt;5),M749*0.9,"0%")</f>
        <v>855</v>
      </c>
      <c r="Q749" s="9" t="str">
        <f>IF(F749="Kredit",EOMONTH(B749,0),"")</f>
        <v/>
      </c>
      <c r="R749" s="17" t="str">
        <f>TEXT(B749,"dddd")</f>
        <v>Wednesday</v>
      </c>
    </row>
    <row r="750" spans="1:18">
      <c r="A750" s="5" t="s">
        <v>757</v>
      </c>
      <c r="B750" s="8">
        <v>46171</v>
      </c>
      <c r="C750" s="5" t="s">
        <v>978</v>
      </c>
      <c r="D750" s="5" t="s">
        <v>971</v>
      </c>
      <c r="E750" s="5" t="s">
        <v>982</v>
      </c>
      <c r="F750" s="5" t="s">
        <v>965</v>
      </c>
      <c r="G750" s="5">
        <v>4</v>
      </c>
      <c r="H750" s="5" t="s">
        <v>963</v>
      </c>
      <c r="I750" s="13">
        <v>774979853</v>
      </c>
      <c r="J750" s="10" t="s">
        <v>1733</v>
      </c>
      <c r="K750" t="str">
        <f>LEFT(C750,FIND(" ",C750)-1)&amp;"-"&amp;E750&amp;" "&amp;"Filialina çardırılma"</f>
        <v>Əli-Baki Filialina çardırılma</v>
      </c>
      <c r="L750">
        <f>VLOOKUP(D750,Anbar!$A$2:$B$5,2,FALSE)</f>
        <v>1200</v>
      </c>
      <c r="M750">
        <f>VLOOKUP(D750,Anbar!$A$2:$C$5,3,FALSE)</f>
        <v>1800</v>
      </c>
      <c r="N750">
        <f t="shared" si="22"/>
        <v>7200</v>
      </c>
      <c r="O750">
        <f t="shared" si="23"/>
        <v>2400</v>
      </c>
      <c r="P750" t="str">
        <f>IF(AND(F750="Nağd",G750&gt;5),M750*0.9,"0%")</f>
        <v>0%</v>
      </c>
      <c r="Q750" s="9" t="str">
        <f>IF(F750="Kredit",EOMONTH(B750,0),"")</f>
        <v/>
      </c>
      <c r="R750" s="17" t="str">
        <f>TEXT(B750,"dddd")</f>
        <v>Friday</v>
      </c>
    </row>
    <row r="751" spans="1:18">
      <c r="A751" s="5" t="s">
        <v>758</v>
      </c>
      <c r="B751" s="8">
        <v>46073</v>
      </c>
      <c r="C751" s="5" t="s">
        <v>6</v>
      </c>
      <c r="D751" s="5" t="s">
        <v>20</v>
      </c>
      <c r="E751" s="5" t="s">
        <v>981</v>
      </c>
      <c r="F751" s="5" t="s">
        <v>965</v>
      </c>
      <c r="G751" s="5">
        <v>6</v>
      </c>
      <c r="H751" s="5" t="s">
        <v>963</v>
      </c>
      <c r="I751" s="13">
        <v>506027529</v>
      </c>
      <c r="J751" s="10" t="s">
        <v>1734</v>
      </c>
      <c r="K751" t="str">
        <f>LEFT(C751,FIND(" ",C751)-1)&amp;"-"&amp;E751&amp;" "&amp;"Filialina çardırılma"</f>
        <v>Zaur-Gəncə Filialina çardırılma</v>
      </c>
      <c r="L751">
        <f>VLOOKUP(D751,Anbar!$A$2:$B$5,2,FALSE)</f>
        <v>15</v>
      </c>
      <c r="M751">
        <f>VLOOKUP(D751,Anbar!$A$2:$C$5,3,FALSE)</f>
        <v>45</v>
      </c>
      <c r="N751">
        <f t="shared" si="22"/>
        <v>270</v>
      </c>
      <c r="O751">
        <f t="shared" si="23"/>
        <v>180</v>
      </c>
      <c r="P751">
        <f>IF(AND(F751="Nağd",G751&gt;5),M751*0.9,"0%")</f>
        <v>40.5</v>
      </c>
      <c r="Q751" s="9" t="str">
        <f>IF(F751="Kredit",EOMONTH(B751,0),"")</f>
        <v/>
      </c>
      <c r="R751" s="17" t="str">
        <f>TEXT(B751,"dddd")</f>
        <v>Friday</v>
      </c>
    </row>
    <row r="752" spans="1:18">
      <c r="A752" s="5" t="s">
        <v>759</v>
      </c>
      <c r="B752" s="8">
        <v>46068</v>
      </c>
      <c r="C752" s="5" t="s">
        <v>978</v>
      </c>
      <c r="D752" s="5" t="s">
        <v>20</v>
      </c>
      <c r="E752" s="5" t="s">
        <v>980</v>
      </c>
      <c r="F752" s="5" t="s">
        <v>4</v>
      </c>
      <c r="G752" s="5">
        <v>8</v>
      </c>
      <c r="H752" s="5" t="s">
        <v>963</v>
      </c>
      <c r="I752" s="13">
        <v>515120988</v>
      </c>
      <c r="J752" s="10" t="s">
        <v>1735</v>
      </c>
      <c r="K752" t="str">
        <f>LEFT(C752,FIND(" ",C752)-1)&amp;"-"&amp;E752&amp;" "&amp;"Filialina çardırılma"</f>
        <v>Əli-Sumqayit Filialina çardırılma</v>
      </c>
      <c r="L752">
        <f>VLOOKUP(D752,Anbar!$A$2:$B$5,2,FALSE)</f>
        <v>15</v>
      </c>
      <c r="M752">
        <f>VLOOKUP(D752,Anbar!$A$2:$C$5,3,FALSE)</f>
        <v>45</v>
      </c>
      <c r="N752">
        <f t="shared" si="22"/>
        <v>360</v>
      </c>
      <c r="O752">
        <f t="shared" si="23"/>
        <v>240</v>
      </c>
      <c r="P752" t="str">
        <f>IF(AND(F752="Nağd",G752&gt;5),M752*0.9,"0%")</f>
        <v>0%</v>
      </c>
      <c r="Q752" s="9">
        <f>IF(F752="Kredit",EOMONTH(B752,0),"")</f>
        <v>46081</v>
      </c>
      <c r="R752" s="17" t="str">
        <f>TEXT(B752,"dddd")</f>
        <v>Sunday</v>
      </c>
    </row>
    <row r="753" spans="1:18">
      <c r="A753" s="5" t="s">
        <v>760</v>
      </c>
      <c r="B753" s="8">
        <v>46099</v>
      </c>
      <c r="C753" s="5" t="s">
        <v>967</v>
      </c>
      <c r="D753" s="5" t="s">
        <v>968</v>
      </c>
      <c r="E753" s="5" t="s">
        <v>964</v>
      </c>
      <c r="F753" s="5" t="s">
        <v>965</v>
      </c>
      <c r="G753" s="5">
        <v>3</v>
      </c>
      <c r="H753" s="5" t="s">
        <v>963</v>
      </c>
      <c r="I753" s="13">
        <v>552916680</v>
      </c>
      <c r="J753" s="10" t="s">
        <v>1736</v>
      </c>
      <c r="K753" t="str">
        <f>LEFT(C753,FIND(" ",C753)-1)&amp;"-"&amp;E753&amp;" "&amp;"Filialina çardırılma"</f>
        <v>Aysel-Sumqayıt Filialina çardırılma</v>
      </c>
      <c r="L753">
        <f>VLOOKUP(D753,Anbar!$A$2:$B$5,2,FALSE)</f>
        <v>400</v>
      </c>
      <c r="M753">
        <f>VLOOKUP(D753,Anbar!$A$2:$C$5,3,FALSE)</f>
        <v>650</v>
      </c>
      <c r="N753">
        <f t="shared" si="22"/>
        <v>1950</v>
      </c>
      <c r="O753">
        <f t="shared" si="23"/>
        <v>750</v>
      </c>
      <c r="P753" t="str">
        <f>IF(AND(F753="Nağd",G753&gt;5),M753*0.9,"0%")</f>
        <v>0%</v>
      </c>
      <c r="Q753" s="9" t="str">
        <f>IF(F753="Kredit",EOMONTH(B753,0),"")</f>
        <v/>
      </c>
      <c r="R753" s="17" t="str">
        <f>TEXT(B753,"dddd")</f>
        <v>Wednesday</v>
      </c>
    </row>
    <row r="754" spans="1:18">
      <c r="A754" s="5" t="s">
        <v>761</v>
      </c>
      <c r="B754" s="8">
        <v>46146</v>
      </c>
      <c r="C754" s="5" t="s">
        <v>976</v>
      </c>
      <c r="D754" s="5" t="s">
        <v>20</v>
      </c>
      <c r="E754" s="5" t="s">
        <v>964</v>
      </c>
      <c r="F754" s="5" t="s">
        <v>965</v>
      </c>
      <c r="G754" s="5">
        <v>8</v>
      </c>
      <c r="H754" s="5" t="s">
        <v>963</v>
      </c>
      <c r="I754" s="13">
        <v>550549948</v>
      </c>
      <c r="J754" s="10" t="s">
        <v>1737</v>
      </c>
      <c r="K754" t="str">
        <f>LEFT(C754,FIND(" ",C754)-1)&amp;"-"&amp;E754&amp;" "&amp;"Filialina çardırılma"</f>
        <v>Nərgin-Sumqayıt Filialina çardırılma</v>
      </c>
      <c r="L754">
        <f>VLOOKUP(D754,Anbar!$A$2:$B$5,2,FALSE)</f>
        <v>15</v>
      </c>
      <c r="M754">
        <f>VLOOKUP(D754,Anbar!$A$2:$C$5,3,FALSE)</f>
        <v>45</v>
      </c>
      <c r="N754">
        <f t="shared" si="22"/>
        <v>360</v>
      </c>
      <c r="O754">
        <f t="shared" si="23"/>
        <v>240</v>
      </c>
      <c r="P754">
        <f>IF(AND(F754="Nağd",G754&gt;5),M754*0.9,"0%")</f>
        <v>40.5</v>
      </c>
      <c r="Q754" s="9" t="str">
        <f>IF(F754="Kredit",EOMONTH(B754,0),"")</f>
        <v/>
      </c>
      <c r="R754" s="17" t="str">
        <f>TEXT(B754,"dddd")</f>
        <v>Monday</v>
      </c>
    </row>
    <row r="755" spans="1:18">
      <c r="A755" s="5" t="s">
        <v>762</v>
      </c>
      <c r="B755" s="8">
        <v>46091</v>
      </c>
      <c r="C755" s="5" t="s">
        <v>977</v>
      </c>
      <c r="D755" s="5" t="s">
        <v>15</v>
      </c>
      <c r="E755" s="5" t="s">
        <v>980</v>
      </c>
      <c r="F755" s="5" t="s">
        <v>4</v>
      </c>
      <c r="G755" s="5">
        <v>10</v>
      </c>
      <c r="H755" s="5" t="s">
        <v>963</v>
      </c>
      <c r="I755" s="13">
        <v>517470072</v>
      </c>
      <c r="J755" s="10" t="s">
        <v>1738</v>
      </c>
      <c r="K755" t="str">
        <f>LEFT(C755,FIND(" ",C755)-1)&amp;"-"&amp;E755&amp;" "&amp;"Filialina çardırılma"</f>
        <v>Elnur-Sumqayit Filialina çardırılma</v>
      </c>
      <c r="L755">
        <f>VLOOKUP(D755,Anbar!$A$2:$B$5,2,FALSE)</f>
        <v>600</v>
      </c>
      <c r="M755">
        <f>VLOOKUP(D755,Anbar!$A$2:$C$5,3,FALSE)</f>
        <v>950</v>
      </c>
      <c r="N755">
        <f t="shared" si="22"/>
        <v>9500</v>
      </c>
      <c r="O755">
        <f t="shared" si="23"/>
        <v>3500</v>
      </c>
      <c r="P755" t="str">
        <f>IF(AND(F755="Nağd",G755&gt;5),M755*0.9,"0%")</f>
        <v>0%</v>
      </c>
      <c r="Q755" s="9">
        <f>IF(F755="Kredit",EOMONTH(B755,0),"")</f>
        <v>46112</v>
      </c>
      <c r="R755" s="17" t="str">
        <f>TEXT(B755,"dddd")</f>
        <v>Tuesday</v>
      </c>
    </row>
    <row r="756" spans="1:18">
      <c r="A756" s="5" t="s">
        <v>763</v>
      </c>
      <c r="B756" s="8">
        <v>46136</v>
      </c>
      <c r="C756" s="5" t="s">
        <v>967</v>
      </c>
      <c r="D756" s="5" t="s">
        <v>20</v>
      </c>
      <c r="E756" s="5" t="s">
        <v>980</v>
      </c>
      <c r="F756" s="5" t="s">
        <v>7</v>
      </c>
      <c r="G756" s="5">
        <v>6</v>
      </c>
      <c r="H756" s="5" t="s">
        <v>963</v>
      </c>
      <c r="I756" s="13">
        <v>519209053</v>
      </c>
      <c r="J756" s="10" t="s">
        <v>1739</v>
      </c>
      <c r="K756" t="str">
        <f>LEFT(C756,FIND(" ",C756)-1)&amp;"-"&amp;E756&amp;" "&amp;"Filialina çardırılma"</f>
        <v>Aysel-Sumqayit Filialina çardırılma</v>
      </c>
      <c r="L756">
        <f>VLOOKUP(D756,Anbar!$A$2:$B$5,2,FALSE)</f>
        <v>15</v>
      </c>
      <c r="M756">
        <f>VLOOKUP(D756,Anbar!$A$2:$C$5,3,FALSE)</f>
        <v>45</v>
      </c>
      <c r="N756">
        <f t="shared" si="22"/>
        <v>270</v>
      </c>
      <c r="O756">
        <f t="shared" si="23"/>
        <v>180</v>
      </c>
      <c r="P756" t="str">
        <f>IF(AND(F756="Nağd",G756&gt;5),M756*0.9,"0%")</f>
        <v>0%</v>
      </c>
      <c r="Q756" s="9" t="str">
        <f>IF(F756="Kredit",EOMONTH(B756,0),"")</f>
        <v/>
      </c>
      <c r="R756" s="17" t="str">
        <f>TEXT(B756,"dddd")</f>
        <v>Friday</v>
      </c>
    </row>
    <row r="757" spans="1:18">
      <c r="A757" s="5" t="s">
        <v>764</v>
      </c>
      <c r="B757" s="8">
        <v>46157</v>
      </c>
      <c r="C757" s="5" t="s">
        <v>974</v>
      </c>
      <c r="D757" s="5" t="s">
        <v>971</v>
      </c>
      <c r="E757" s="5" t="s">
        <v>981</v>
      </c>
      <c r="F757" s="5" t="s">
        <v>4</v>
      </c>
      <c r="G757" s="5">
        <v>7</v>
      </c>
      <c r="H757" s="5" t="s">
        <v>963</v>
      </c>
      <c r="I757" s="13">
        <v>771317990</v>
      </c>
      <c r="J757" s="10" t="s">
        <v>1740</v>
      </c>
      <c r="K757" t="str">
        <f>LEFT(C757,FIND(" ",C757)-1)&amp;"-"&amp;E757&amp;" "&amp;"Filialina çardırılma"</f>
        <v>Ramil-Gəncə Filialina çardırılma</v>
      </c>
      <c r="L757">
        <f>VLOOKUP(D757,Anbar!$A$2:$B$5,2,FALSE)</f>
        <v>1200</v>
      </c>
      <c r="M757">
        <f>VLOOKUP(D757,Anbar!$A$2:$C$5,3,FALSE)</f>
        <v>1800</v>
      </c>
      <c r="N757">
        <f t="shared" si="22"/>
        <v>12600</v>
      </c>
      <c r="O757">
        <f t="shared" si="23"/>
        <v>4200</v>
      </c>
      <c r="P757" t="str">
        <f>IF(AND(F757="Nağd",G757&gt;5),M757*0.9,"0%")</f>
        <v>0%</v>
      </c>
      <c r="Q757" s="9">
        <f>IF(F757="Kredit",EOMONTH(B757,0),"")</f>
        <v>46173</v>
      </c>
      <c r="R757" s="17" t="str">
        <f>TEXT(B757,"dddd")</f>
        <v>Friday</v>
      </c>
    </row>
    <row r="758" spans="1:18">
      <c r="A758" s="5" t="s">
        <v>765</v>
      </c>
      <c r="B758" s="8">
        <v>46083</v>
      </c>
      <c r="C758" s="5" t="s">
        <v>967</v>
      </c>
      <c r="D758" s="5" t="s">
        <v>971</v>
      </c>
      <c r="E758" s="5" t="s">
        <v>9</v>
      </c>
      <c r="F758" s="5" t="s">
        <v>7</v>
      </c>
      <c r="G758" s="5">
        <v>4</v>
      </c>
      <c r="H758" s="5" t="s">
        <v>963</v>
      </c>
      <c r="I758" s="13">
        <v>774934247</v>
      </c>
      <c r="J758" s="10" t="s">
        <v>1741</v>
      </c>
      <c r="K758" t="str">
        <f>LEFT(C758,FIND(" ",C758)-1)&amp;"-"&amp;E758&amp;" "&amp;"Filialina çardırılma"</f>
        <v>Aysel-Gence Filialina çardırılma</v>
      </c>
      <c r="L758">
        <f>VLOOKUP(D758,Anbar!$A$2:$B$5,2,FALSE)</f>
        <v>1200</v>
      </c>
      <c r="M758">
        <f>VLOOKUP(D758,Anbar!$A$2:$C$5,3,FALSE)</f>
        <v>1800</v>
      </c>
      <c r="N758">
        <f t="shared" si="22"/>
        <v>7200</v>
      </c>
      <c r="O758">
        <f t="shared" si="23"/>
        <v>2400</v>
      </c>
      <c r="P758" t="str">
        <f>IF(AND(F758="Nağd",G758&gt;5),M758*0.9,"0%")</f>
        <v>0%</v>
      </c>
      <c r="Q758" s="9" t="str">
        <f>IF(F758="Kredit",EOMONTH(B758,0),"")</f>
        <v/>
      </c>
      <c r="R758" s="17" t="str">
        <f>TEXT(B758,"dddd")</f>
        <v>Monday</v>
      </c>
    </row>
    <row r="759" spans="1:18">
      <c r="A759" s="5" t="s">
        <v>766</v>
      </c>
      <c r="B759" s="8">
        <v>46039</v>
      </c>
      <c r="C759" s="5" t="s">
        <v>6</v>
      </c>
      <c r="D759" s="5" t="s">
        <v>20</v>
      </c>
      <c r="E759" s="5" t="s">
        <v>966</v>
      </c>
      <c r="F759" s="5" t="s">
        <v>7</v>
      </c>
      <c r="G759" s="5">
        <v>3</v>
      </c>
      <c r="H759" s="5" t="s">
        <v>963</v>
      </c>
      <c r="I759" s="13">
        <v>555462408</v>
      </c>
      <c r="J759" s="10" t="s">
        <v>1742</v>
      </c>
      <c r="K759" t="str">
        <f>LEFT(C759,FIND(" ",C759)-1)&amp;"-"&amp;E759&amp;" "&amp;"Filialina çardırılma"</f>
        <v>Zaur-Bakı Filialina çardırılma</v>
      </c>
      <c r="L759">
        <f>VLOOKUP(D759,Anbar!$A$2:$B$5,2,FALSE)</f>
        <v>15</v>
      </c>
      <c r="M759">
        <f>VLOOKUP(D759,Anbar!$A$2:$C$5,3,FALSE)</f>
        <v>45</v>
      </c>
      <c r="N759">
        <f t="shared" si="22"/>
        <v>135</v>
      </c>
      <c r="O759">
        <f t="shared" si="23"/>
        <v>90</v>
      </c>
      <c r="P759" t="str">
        <f>IF(AND(F759="Nağd",G759&gt;5),M759*0.9,"0%")</f>
        <v>0%</v>
      </c>
      <c r="Q759" s="9" t="str">
        <f>IF(F759="Kredit",EOMONTH(B759,0),"")</f>
        <v/>
      </c>
      <c r="R759" s="17" t="str">
        <f>TEXT(B759,"dddd")</f>
        <v>Saturday</v>
      </c>
    </row>
    <row r="760" spans="1:18">
      <c r="A760" s="5" t="s">
        <v>767</v>
      </c>
      <c r="B760" s="8">
        <v>46176</v>
      </c>
      <c r="C760" s="5" t="s">
        <v>975</v>
      </c>
      <c r="D760" s="5" t="s">
        <v>971</v>
      </c>
      <c r="E760" s="5" t="s">
        <v>982</v>
      </c>
      <c r="F760" s="5" t="s">
        <v>965</v>
      </c>
      <c r="G760" s="5">
        <v>5</v>
      </c>
      <c r="H760" s="5" t="s">
        <v>963</v>
      </c>
      <c r="I760" s="13">
        <v>504008638</v>
      </c>
      <c r="J760" s="10" t="s">
        <v>1743</v>
      </c>
      <c r="K760" t="str">
        <f>LEFT(C760,FIND(" ",C760)-1)&amp;"-"&amp;E760&amp;" "&amp;"Filialina çardırılma"</f>
        <v>Murad-Baki Filialina çardırılma</v>
      </c>
      <c r="L760">
        <f>VLOOKUP(D760,Anbar!$A$2:$B$5,2,FALSE)</f>
        <v>1200</v>
      </c>
      <c r="M760">
        <f>VLOOKUP(D760,Anbar!$A$2:$C$5,3,FALSE)</f>
        <v>1800</v>
      </c>
      <c r="N760">
        <f t="shared" si="22"/>
        <v>9000</v>
      </c>
      <c r="O760">
        <f t="shared" si="23"/>
        <v>3000</v>
      </c>
      <c r="P760" t="str">
        <f>IF(AND(F760="Nağd",G760&gt;5),M760*0.9,"0%")</f>
        <v>0%</v>
      </c>
      <c r="Q760" s="9" t="str">
        <f>IF(F760="Kredit",EOMONTH(B760,0),"")</f>
        <v/>
      </c>
      <c r="R760" s="17" t="str">
        <f>TEXT(B760,"dddd")</f>
        <v>Wednesday</v>
      </c>
    </row>
    <row r="761" spans="1:18">
      <c r="A761" s="5" t="s">
        <v>768</v>
      </c>
      <c r="B761" s="8">
        <v>46050</v>
      </c>
      <c r="C761" s="5" t="s">
        <v>6</v>
      </c>
      <c r="D761" s="5" t="s">
        <v>971</v>
      </c>
      <c r="E761" s="5" t="s">
        <v>9</v>
      </c>
      <c r="F761" s="5" t="s">
        <v>4</v>
      </c>
      <c r="G761" s="5">
        <v>9</v>
      </c>
      <c r="H761" s="5" t="s">
        <v>963</v>
      </c>
      <c r="I761" s="13">
        <v>508134896</v>
      </c>
      <c r="J761" s="10" t="s">
        <v>1744</v>
      </c>
      <c r="K761" t="str">
        <f>LEFT(C761,FIND(" ",C761)-1)&amp;"-"&amp;E761&amp;" "&amp;"Filialina çardırılma"</f>
        <v>Zaur-Gence Filialina çardırılma</v>
      </c>
      <c r="L761">
        <f>VLOOKUP(D761,Anbar!$A$2:$B$5,2,FALSE)</f>
        <v>1200</v>
      </c>
      <c r="M761">
        <f>VLOOKUP(D761,Anbar!$A$2:$C$5,3,FALSE)</f>
        <v>1800</v>
      </c>
      <c r="N761">
        <f t="shared" si="22"/>
        <v>16200</v>
      </c>
      <c r="O761">
        <f t="shared" si="23"/>
        <v>5400</v>
      </c>
      <c r="P761" t="str">
        <f>IF(AND(F761="Nağd",G761&gt;5),M761*0.9,"0%")</f>
        <v>0%</v>
      </c>
      <c r="Q761" s="9">
        <f>IF(F761="Kredit",EOMONTH(B761,0),"")</f>
        <v>46053</v>
      </c>
      <c r="R761" s="17" t="str">
        <f>TEXT(B761,"dddd")</f>
        <v>Wednesday</v>
      </c>
    </row>
    <row r="762" spans="1:18">
      <c r="A762" s="5" t="s">
        <v>769</v>
      </c>
      <c r="B762" s="8">
        <v>46093</v>
      </c>
      <c r="C762" s="5" t="s">
        <v>979</v>
      </c>
      <c r="D762" s="5" t="s">
        <v>971</v>
      </c>
      <c r="E762" s="5" t="s">
        <v>966</v>
      </c>
      <c r="F762" s="5" t="s">
        <v>965</v>
      </c>
      <c r="G762" s="5">
        <v>8</v>
      </c>
      <c r="H762" s="5" t="s">
        <v>963</v>
      </c>
      <c r="I762" s="13">
        <v>507955004</v>
      </c>
      <c r="J762" s="10" t="s">
        <v>1745</v>
      </c>
      <c r="K762" t="str">
        <f>LEFT(C762,FIND(" ",C762)-1)&amp;"-"&amp;E762&amp;" "&amp;"Filialina çardırılma"</f>
        <v>Leyla-Bakı Filialina çardırılma</v>
      </c>
      <c r="L762">
        <f>VLOOKUP(D762,Anbar!$A$2:$B$5,2,FALSE)</f>
        <v>1200</v>
      </c>
      <c r="M762">
        <f>VLOOKUP(D762,Anbar!$A$2:$C$5,3,FALSE)</f>
        <v>1800</v>
      </c>
      <c r="N762">
        <f t="shared" si="22"/>
        <v>14400</v>
      </c>
      <c r="O762">
        <f t="shared" si="23"/>
        <v>4800</v>
      </c>
      <c r="P762">
        <f>IF(AND(F762="Nağd",G762&gt;5),M762*0.9,"0%")</f>
        <v>1620</v>
      </c>
      <c r="Q762" s="9" t="str">
        <f>IF(F762="Kredit",EOMONTH(B762,0),"")</f>
        <v/>
      </c>
      <c r="R762" s="17" t="str">
        <f>TEXT(B762,"dddd")</f>
        <v>Thursday</v>
      </c>
    </row>
    <row r="763" spans="1:18">
      <c r="A763" s="5" t="s">
        <v>770</v>
      </c>
      <c r="B763" s="8">
        <v>46176</v>
      </c>
      <c r="C763" s="5" t="s">
        <v>976</v>
      </c>
      <c r="D763" s="5" t="s">
        <v>968</v>
      </c>
      <c r="E763" s="5" t="s">
        <v>980</v>
      </c>
      <c r="F763" s="5" t="s">
        <v>4</v>
      </c>
      <c r="G763" s="5">
        <v>2</v>
      </c>
      <c r="H763" s="5" t="s">
        <v>963</v>
      </c>
      <c r="I763" s="13">
        <v>503019477</v>
      </c>
      <c r="J763" s="10" t="s">
        <v>1746</v>
      </c>
      <c r="K763" t="str">
        <f>LEFT(C763,FIND(" ",C763)-1)&amp;"-"&amp;E763&amp;" "&amp;"Filialina çardırılma"</f>
        <v>Nərgin-Sumqayit Filialina çardırılma</v>
      </c>
      <c r="L763">
        <f>VLOOKUP(D763,Anbar!$A$2:$B$5,2,FALSE)</f>
        <v>400</v>
      </c>
      <c r="M763">
        <f>VLOOKUP(D763,Anbar!$A$2:$C$5,3,FALSE)</f>
        <v>650</v>
      </c>
      <c r="N763">
        <f t="shared" si="22"/>
        <v>1300</v>
      </c>
      <c r="O763">
        <f t="shared" si="23"/>
        <v>500</v>
      </c>
      <c r="P763" t="str">
        <f>IF(AND(F763="Nağd",G763&gt;5),M763*0.9,"0%")</f>
        <v>0%</v>
      </c>
      <c r="Q763" s="9">
        <f>IF(F763="Kredit",EOMONTH(B763,0),"")</f>
        <v>46203</v>
      </c>
      <c r="R763" s="17" t="str">
        <f>TEXT(B763,"dddd")</f>
        <v>Wednesday</v>
      </c>
    </row>
    <row r="764" spans="1:18">
      <c r="A764" s="5" t="s">
        <v>771</v>
      </c>
      <c r="B764" s="8">
        <v>46112</v>
      </c>
      <c r="C764" s="5" t="s">
        <v>976</v>
      </c>
      <c r="D764" s="5" t="s">
        <v>971</v>
      </c>
      <c r="E764" s="5" t="s">
        <v>9</v>
      </c>
      <c r="F764" s="5" t="s">
        <v>965</v>
      </c>
      <c r="G764" s="5">
        <v>4</v>
      </c>
      <c r="H764" s="5" t="s">
        <v>963</v>
      </c>
      <c r="I764" s="13">
        <v>555596654</v>
      </c>
      <c r="J764" s="10" t="s">
        <v>1747</v>
      </c>
      <c r="K764" t="str">
        <f>LEFT(C764,FIND(" ",C764)-1)&amp;"-"&amp;E764&amp;" "&amp;"Filialina çardırılma"</f>
        <v>Nərgin-Gence Filialina çardırılma</v>
      </c>
      <c r="L764">
        <f>VLOOKUP(D764,Anbar!$A$2:$B$5,2,FALSE)</f>
        <v>1200</v>
      </c>
      <c r="M764">
        <f>VLOOKUP(D764,Anbar!$A$2:$C$5,3,FALSE)</f>
        <v>1800</v>
      </c>
      <c r="N764">
        <f t="shared" si="22"/>
        <v>7200</v>
      </c>
      <c r="O764">
        <f t="shared" si="23"/>
        <v>2400</v>
      </c>
      <c r="P764" t="str">
        <f>IF(AND(F764="Nağd",G764&gt;5),M764*0.9,"0%")</f>
        <v>0%</v>
      </c>
      <c r="Q764" s="9" t="str">
        <f>IF(F764="Kredit",EOMONTH(B764,0),"")</f>
        <v/>
      </c>
      <c r="R764" s="17" t="str">
        <f>TEXT(B764,"dddd")</f>
        <v>Tuesday</v>
      </c>
    </row>
    <row r="765" spans="1:18">
      <c r="A765" s="5" t="s">
        <v>772</v>
      </c>
      <c r="B765" s="8">
        <v>46043</v>
      </c>
      <c r="C765" s="5" t="s">
        <v>976</v>
      </c>
      <c r="D765" s="5" t="s">
        <v>20</v>
      </c>
      <c r="E765" s="5" t="s">
        <v>9</v>
      </c>
      <c r="F765" s="5" t="s">
        <v>965</v>
      </c>
      <c r="G765" s="5">
        <v>6</v>
      </c>
      <c r="H765" s="5" t="s">
        <v>963</v>
      </c>
      <c r="I765" s="13">
        <v>771778261</v>
      </c>
      <c r="J765" s="10" t="s">
        <v>1748</v>
      </c>
      <c r="K765" t="str">
        <f>LEFT(C765,FIND(" ",C765)-1)&amp;"-"&amp;E765&amp;" "&amp;"Filialina çardırılma"</f>
        <v>Nərgin-Gence Filialina çardırılma</v>
      </c>
      <c r="L765">
        <f>VLOOKUP(D765,Anbar!$A$2:$B$5,2,FALSE)</f>
        <v>15</v>
      </c>
      <c r="M765">
        <f>VLOOKUP(D765,Anbar!$A$2:$C$5,3,FALSE)</f>
        <v>45</v>
      </c>
      <c r="N765">
        <f t="shared" si="22"/>
        <v>270</v>
      </c>
      <c r="O765">
        <f t="shared" si="23"/>
        <v>180</v>
      </c>
      <c r="P765">
        <f>IF(AND(F765="Nağd",G765&gt;5),M765*0.9,"0%")</f>
        <v>40.5</v>
      </c>
      <c r="Q765" s="9" t="str">
        <f>IF(F765="Kredit",EOMONTH(B765,0),"")</f>
        <v/>
      </c>
      <c r="R765" s="17" t="str">
        <f>TEXT(B765,"dddd")</f>
        <v>Wednesday</v>
      </c>
    </row>
    <row r="766" spans="1:18">
      <c r="A766" s="5" t="s">
        <v>773</v>
      </c>
      <c r="B766" s="8">
        <v>46078</v>
      </c>
      <c r="C766" s="5" t="s">
        <v>975</v>
      </c>
      <c r="D766" s="5" t="s">
        <v>971</v>
      </c>
      <c r="E766" s="5" t="s">
        <v>982</v>
      </c>
      <c r="F766" s="5" t="s">
        <v>7</v>
      </c>
      <c r="G766" s="5">
        <v>6</v>
      </c>
      <c r="H766" s="5" t="s">
        <v>963</v>
      </c>
      <c r="I766" s="13">
        <v>557192152</v>
      </c>
      <c r="J766" s="10" t="s">
        <v>1749</v>
      </c>
      <c r="K766" t="str">
        <f>LEFT(C766,FIND(" ",C766)-1)&amp;"-"&amp;E766&amp;" "&amp;"Filialina çardırılma"</f>
        <v>Murad-Baki Filialina çardırılma</v>
      </c>
      <c r="L766">
        <f>VLOOKUP(D766,Anbar!$A$2:$B$5,2,FALSE)</f>
        <v>1200</v>
      </c>
      <c r="M766">
        <f>VLOOKUP(D766,Anbar!$A$2:$C$5,3,FALSE)</f>
        <v>1800</v>
      </c>
      <c r="N766">
        <f t="shared" si="22"/>
        <v>10800</v>
      </c>
      <c r="O766">
        <f t="shared" si="23"/>
        <v>3600</v>
      </c>
      <c r="P766" t="str">
        <f>IF(AND(F766="Nağd",G766&gt;5),M766*0.9,"0%")</f>
        <v>0%</v>
      </c>
      <c r="Q766" s="9" t="str">
        <f>IF(F766="Kredit",EOMONTH(B766,0),"")</f>
        <v/>
      </c>
      <c r="R766" s="17" t="str">
        <f>TEXT(B766,"dddd")</f>
        <v>Wednesday</v>
      </c>
    </row>
    <row r="767" spans="1:18">
      <c r="A767" s="5" t="s">
        <v>774</v>
      </c>
      <c r="B767" s="8">
        <v>46043</v>
      </c>
      <c r="C767" s="5" t="s">
        <v>979</v>
      </c>
      <c r="D767" s="5" t="s">
        <v>20</v>
      </c>
      <c r="E767" s="5" t="s">
        <v>981</v>
      </c>
      <c r="F767" s="5" t="s">
        <v>965</v>
      </c>
      <c r="G767" s="5">
        <v>9</v>
      </c>
      <c r="H767" s="5" t="s">
        <v>963</v>
      </c>
      <c r="I767" s="13">
        <v>706514910</v>
      </c>
      <c r="J767" s="10" t="s">
        <v>1750</v>
      </c>
      <c r="K767" t="str">
        <f>LEFT(C767,FIND(" ",C767)-1)&amp;"-"&amp;E767&amp;" "&amp;"Filialina çardırılma"</f>
        <v>Leyla-Gəncə Filialina çardırılma</v>
      </c>
      <c r="L767">
        <f>VLOOKUP(D767,Anbar!$A$2:$B$5,2,FALSE)</f>
        <v>15</v>
      </c>
      <c r="M767">
        <f>VLOOKUP(D767,Anbar!$A$2:$C$5,3,FALSE)</f>
        <v>45</v>
      </c>
      <c r="N767">
        <f t="shared" si="22"/>
        <v>405</v>
      </c>
      <c r="O767">
        <f t="shared" si="23"/>
        <v>270</v>
      </c>
      <c r="P767">
        <f>IF(AND(F767="Nağd",G767&gt;5),M767*0.9,"0%")</f>
        <v>40.5</v>
      </c>
      <c r="Q767" s="9" t="str">
        <f>IF(F767="Kredit",EOMONTH(B767,0),"")</f>
        <v/>
      </c>
      <c r="R767" s="17" t="str">
        <f>TEXT(B767,"dddd")</f>
        <v>Wednesday</v>
      </c>
    </row>
    <row r="768" spans="1:18">
      <c r="A768" s="5" t="s">
        <v>775</v>
      </c>
      <c r="B768" s="8">
        <v>46143</v>
      </c>
      <c r="C768" s="5" t="s">
        <v>974</v>
      </c>
      <c r="D768" s="5" t="s">
        <v>15</v>
      </c>
      <c r="E768" s="5" t="s">
        <v>966</v>
      </c>
      <c r="F768" s="5" t="s">
        <v>965</v>
      </c>
      <c r="G768" s="5">
        <v>9</v>
      </c>
      <c r="H768" s="5" t="s">
        <v>963</v>
      </c>
      <c r="I768" s="13">
        <v>507266414</v>
      </c>
      <c r="J768" s="10" t="s">
        <v>1751</v>
      </c>
      <c r="K768" t="str">
        <f>LEFT(C768,FIND(" ",C768)-1)&amp;"-"&amp;E768&amp;" "&amp;"Filialina çardırılma"</f>
        <v>Ramil-Bakı Filialina çardırılma</v>
      </c>
      <c r="L768">
        <f>VLOOKUP(D768,Anbar!$A$2:$B$5,2,FALSE)</f>
        <v>600</v>
      </c>
      <c r="M768">
        <f>VLOOKUP(D768,Anbar!$A$2:$C$5,3,FALSE)</f>
        <v>950</v>
      </c>
      <c r="N768">
        <f t="shared" si="22"/>
        <v>8550</v>
      </c>
      <c r="O768">
        <f t="shared" si="23"/>
        <v>3150</v>
      </c>
      <c r="P768">
        <f>IF(AND(F768="Nağd",G768&gt;5),M768*0.9,"0%")</f>
        <v>855</v>
      </c>
      <c r="Q768" s="9" t="str">
        <f>IF(F768="Kredit",EOMONTH(B768,0),"")</f>
        <v/>
      </c>
      <c r="R768" s="17" t="str">
        <f>TEXT(B768,"dddd")</f>
        <v>Friday</v>
      </c>
    </row>
    <row r="769" spans="1:18">
      <c r="A769" s="5" t="s">
        <v>776</v>
      </c>
      <c r="B769" s="8">
        <v>46174</v>
      </c>
      <c r="C769" s="5" t="s">
        <v>979</v>
      </c>
      <c r="D769" s="5" t="s">
        <v>15</v>
      </c>
      <c r="E769" s="5" t="s">
        <v>981</v>
      </c>
      <c r="F769" s="5" t="s">
        <v>4</v>
      </c>
      <c r="G769" s="5">
        <v>10</v>
      </c>
      <c r="H769" s="5" t="s">
        <v>963</v>
      </c>
      <c r="I769" s="13">
        <v>555948547</v>
      </c>
      <c r="J769" s="10" t="s">
        <v>1752</v>
      </c>
      <c r="K769" t="str">
        <f>LEFT(C769,FIND(" ",C769)-1)&amp;"-"&amp;E769&amp;" "&amp;"Filialina çardırılma"</f>
        <v>Leyla-Gəncə Filialina çardırılma</v>
      </c>
      <c r="L769">
        <f>VLOOKUP(D769,Anbar!$A$2:$B$5,2,FALSE)</f>
        <v>600</v>
      </c>
      <c r="M769">
        <f>VLOOKUP(D769,Anbar!$A$2:$C$5,3,FALSE)</f>
        <v>950</v>
      </c>
      <c r="N769">
        <f t="shared" si="22"/>
        <v>9500</v>
      </c>
      <c r="O769">
        <f t="shared" si="23"/>
        <v>3500</v>
      </c>
      <c r="P769" t="str">
        <f>IF(AND(F769="Nağd",G769&gt;5),M769*0.9,"0%")</f>
        <v>0%</v>
      </c>
      <c r="Q769" s="9">
        <f>IF(F769="Kredit",EOMONTH(B769,0),"")</f>
        <v>46203</v>
      </c>
      <c r="R769" s="17" t="str">
        <f>TEXT(B769,"dddd")</f>
        <v>Monday</v>
      </c>
    </row>
    <row r="770" spans="1:18">
      <c r="A770" s="5" t="s">
        <v>777</v>
      </c>
      <c r="B770" s="8">
        <v>46105</v>
      </c>
      <c r="C770" s="5" t="s">
        <v>6</v>
      </c>
      <c r="D770" s="5" t="s">
        <v>20</v>
      </c>
      <c r="E770" s="5" t="s">
        <v>9</v>
      </c>
      <c r="F770" s="5" t="s">
        <v>965</v>
      </c>
      <c r="G770" s="5">
        <v>7</v>
      </c>
      <c r="H770" s="5" t="s">
        <v>963</v>
      </c>
      <c r="I770" s="13">
        <v>770266997</v>
      </c>
      <c r="J770" s="10" t="s">
        <v>1753</v>
      </c>
      <c r="K770" t="str">
        <f>LEFT(C770,FIND(" ",C770)-1)&amp;"-"&amp;E770&amp;" "&amp;"Filialina çardırılma"</f>
        <v>Zaur-Gence Filialina çardırılma</v>
      </c>
      <c r="L770">
        <f>VLOOKUP(D770,Anbar!$A$2:$B$5,2,FALSE)</f>
        <v>15</v>
      </c>
      <c r="M770">
        <f>VLOOKUP(D770,Anbar!$A$2:$C$5,3,FALSE)</f>
        <v>45</v>
      </c>
      <c r="N770">
        <f t="shared" si="22"/>
        <v>315</v>
      </c>
      <c r="O770">
        <f t="shared" si="23"/>
        <v>210</v>
      </c>
      <c r="P770">
        <f>IF(AND(F770="Nağd",G770&gt;5),M770*0.9,"0%")</f>
        <v>40.5</v>
      </c>
      <c r="Q770" s="9" t="str">
        <f>IF(F770="Kredit",EOMONTH(B770,0),"")</f>
        <v/>
      </c>
      <c r="R770" s="17" t="str">
        <f>TEXT(B770,"dddd")</f>
        <v>Tuesday</v>
      </c>
    </row>
    <row r="771" spans="1:18">
      <c r="A771" s="5" t="s">
        <v>778</v>
      </c>
      <c r="B771" s="8">
        <v>46043</v>
      </c>
      <c r="C771" s="5" t="s">
        <v>977</v>
      </c>
      <c r="D771" s="5" t="s">
        <v>971</v>
      </c>
      <c r="E771" s="5" t="s">
        <v>983</v>
      </c>
      <c r="F771" s="5" t="s">
        <v>4</v>
      </c>
      <c r="G771" s="5">
        <v>10</v>
      </c>
      <c r="H771" s="5" t="s">
        <v>963</v>
      </c>
      <c r="I771" s="13">
        <v>702741810</v>
      </c>
      <c r="J771" s="10" t="s">
        <v>1754</v>
      </c>
      <c r="K771" t="str">
        <f>LEFT(C771,FIND(" ",C771)-1)&amp;"-"&amp;E771&amp;" "&amp;"Filialina çardırılma"</f>
        <v>Elnur-Naməlum Filialina çardırılma</v>
      </c>
      <c r="L771">
        <f>VLOOKUP(D771,Anbar!$A$2:$B$5,2,FALSE)</f>
        <v>1200</v>
      </c>
      <c r="M771">
        <f>VLOOKUP(D771,Anbar!$A$2:$C$5,3,FALSE)</f>
        <v>1800</v>
      </c>
      <c r="N771">
        <f t="shared" ref="N771:N834" si="24">G771*M771</f>
        <v>18000</v>
      </c>
      <c r="O771">
        <f t="shared" ref="O771:O834" si="25">(M771-L771)*G771</f>
        <v>6000</v>
      </c>
      <c r="P771" t="str">
        <f>IF(AND(F771="Nağd",G771&gt;5),M771*0.9,"0%")</f>
        <v>0%</v>
      </c>
      <c r="Q771" s="9">
        <f>IF(F771="Kredit",EOMONTH(B771,0),"")</f>
        <v>46053</v>
      </c>
      <c r="R771" s="17" t="str">
        <f>TEXT(B771,"dddd")</f>
        <v>Wednesday</v>
      </c>
    </row>
    <row r="772" spans="1:18">
      <c r="A772" s="5" t="s">
        <v>779</v>
      </c>
      <c r="B772" s="8">
        <v>46074</v>
      </c>
      <c r="C772" s="5" t="s">
        <v>974</v>
      </c>
      <c r="D772" s="5" t="s">
        <v>20</v>
      </c>
      <c r="E772" s="5" t="s">
        <v>980</v>
      </c>
      <c r="F772" s="5" t="s">
        <v>4</v>
      </c>
      <c r="G772" s="5">
        <v>5</v>
      </c>
      <c r="H772" s="5" t="s">
        <v>963</v>
      </c>
      <c r="I772" s="13">
        <v>776525637</v>
      </c>
      <c r="J772" s="10" t="s">
        <v>1755</v>
      </c>
      <c r="K772" t="str">
        <f>LEFT(C772,FIND(" ",C772)-1)&amp;"-"&amp;E772&amp;" "&amp;"Filialina çardırılma"</f>
        <v>Ramil-Sumqayit Filialina çardırılma</v>
      </c>
      <c r="L772">
        <f>VLOOKUP(D772,Anbar!$A$2:$B$5,2,FALSE)</f>
        <v>15</v>
      </c>
      <c r="M772">
        <f>VLOOKUP(D772,Anbar!$A$2:$C$5,3,FALSE)</f>
        <v>45</v>
      </c>
      <c r="N772">
        <f t="shared" si="24"/>
        <v>225</v>
      </c>
      <c r="O772">
        <f t="shared" si="25"/>
        <v>150</v>
      </c>
      <c r="P772" t="str">
        <f>IF(AND(F772="Nağd",G772&gt;5),M772*0.9,"0%")</f>
        <v>0%</v>
      </c>
      <c r="Q772" s="9">
        <f>IF(F772="Kredit",EOMONTH(B772,0),"")</f>
        <v>46081</v>
      </c>
      <c r="R772" s="17" t="str">
        <f>TEXT(B772,"dddd")</f>
        <v>Saturday</v>
      </c>
    </row>
    <row r="773" spans="1:18">
      <c r="A773" s="5" t="s">
        <v>780</v>
      </c>
      <c r="B773" s="8">
        <v>46179</v>
      </c>
      <c r="C773" s="5" t="s">
        <v>978</v>
      </c>
      <c r="D773" s="5" t="s">
        <v>971</v>
      </c>
      <c r="E773" s="5" t="s">
        <v>966</v>
      </c>
      <c r="F773" s="5" t="s">
        <v>965</v>
      </c>
      <c r="G773" s="5">
        <v>4</v>
      </c>
      <c r="H773" s="5" t="s">
        <v>963</v>
      </c>
      <c r="I773" s="13">
        <v>708660192</v>
      </c>
      <c r="J773" s="10" t="s">
        <v>1756</v>
      </c>
      <c r="K773" t="str">
        <f>LEFT(C773,FIND(" ",C773)-1)&amp;"-"&amp;E773&amp;" "&amp;"Filialina çardırılma"</f>
        <v>Əli-Bakı Filialina çardırılma</v>
      </c>
      <c r="L773">
        <f>VLOOKUP(D773,Anbar!$A$2:$B$5,2,FALSE)</f>
        <v>1200</v>
      </c>
      <c r="M773">
        <f>VLOOKUP(D773,Anbar!$A$2:$C$5,3,FALSE)</f>
        <v>1800</v>
      </c>
      <c r="N773">
        <f t="shared" si="24"/>
        <v>7200</v>
      </c>
      <c r="O773">
        <f t="shared" si="25"/>
        <v>2400</v>
      </c>
      <c r="P773" t="str">
        <f>IF(AND(F773="Nağd",G773&gt;5),M773*0.9,"0%")</f>
        <v>0%</v>
      </c>
      <c r="Q773" s="9" t="str">
        <f>IF(F773="Kredit",EOMONTH(B773,0),"")</f>
        <v/>
      </c>
      <c r="R773" s="17" t="str">
        <f>TEXT(B773,"dddd")</f>
        <v>Saturday</v>
      </c>
    </row>
    <row r="774" spans="1:18">
      <c r="A774" s="5" t="s">
        <v>781</v>
      </c>
      <c r="B774" s="8">
        <v>46034</v>
      </c>
      <c r="C774" s="5" t="s">
        <v>974</v>
      </c>
      <c r="D774" s="5" t="s">
        <v>971</v>
      </c>
      <c r="E774" s="5" t="s">
        <v>966</v>
      </c>
      <c r="F774" s="5" t="s">
        <v>7</v>
      </c>
      <c r="G774" s="5">
        <v>6</v>
      </c>
      <c r="H774" s="5" t="s">
        <v>963</v>
      </c>
      <c r="I774" s="13">
        <v>554921416</v>
      </c>
      <c r="J774" s="10" t="s">
        <v>1757</v>
      </c>
      <c r="K774" t="str">
        <f>LEFT(C774,FIND(" ",C774)-1)&amp;"-"&amp;E774&amp;" "&amp;"Filialina çardırılma"</f>
        <v>Ramil-Bakı Filialina çardırılma</v>
      </c>
      <c r="L774">
        <f>VLOOKUP(D774,Anbar!$A$2:$B$5,2,FALSE)</f>
        <v>1200</v>
      </c>
      <c r="M774">
        <f>VLOOKUP(D774,Anbar!$A$2:$C$5,3,FALSE)</f>
        <v>1800</v>
      </c>
      <c r="N774">
        <f t="shared" si="24"/>
        <v>10800</v>
      </c>
      <c r="O774">
        <f t="shared" si="25"/>
        <v>3600</v>
      </c>
      <c r="P774" t="str">
        <f>IF(AND(F774="Nağd",G774&gt;5),M774*0.9,"0%")</f>
        <v>0%</v>
      </c>
      <c r="Q774" s="9" t="str">
        <f>IF(F774="Kredit",EOMONTH(B774,0),"")</f>
        <v/>
      </c>
      <c r="R774" s="17" t="str">
        <f>TEXT(B774,"dddd")</f>
        <v>Monday</v>
      </c>
    </row>
    <row r="775" spans="1:18">
      <c r="A775" s="5" t="s">
        <v>782</v>
      </c>
      <c r="B775" s="8">
        <v>46163</v>
      </c>
      <c r="C775" s="5" t="s">
        <v>6</v>
      </c>
      <c r="D775" s="5" t="s">
        <v>20</v>
      </c>
      <c r="E775" s="5" t="s">
        <v>980</v>
      </c>
      <c r="F775" s="5" t="s">
        <v>4</v>
      </c>
      <c r="G775" s="5">
        <v>8</v>
      </c>
      <c r="H775" s="5" t="s">
        <v>963</v>
      </c>
      <c r="I775" s="13">
        <v>551764631</v>
      </c>
      <c r="J775" s="10" t="s">
        <v>1758</v>
      </c>
      <c r="K775" t="str">
        <f>LEFT(C775,FIND(" ",C775)-1)&amp;"-"&amp;E775&amp;" "&amp;"Filialina çardırılma"</f>
        <v>Zaur-Sumqayit Filialina çardırılma</v>
      </c>
      <c r="L775">
        <f>VLOOKUP(D775,Anbar!$A$2:$B$5,2,FALSE)</f>
        <v>15</v>
      </c>
      <c r="M775">
        <f>VLOOKUP(D775,Anbar!$A$2:$C$5,3,FALSE)</f>
        <v>45</v>
      </c>
      <c r="N775">
        <f t="shared" si="24"/>
        <v>360</v>
      </c>
      <c r="O775">
        <f t="shared" si="25"/>
        <v>240</v>
      </c>
      <c r="P775" t="str">
        <f>IF(AND(F775="Nağd",G775&gt;5),M775*0.9,"0%")</f>
        <v>0%</v>
      </c>
      <c r="Q775" s="9">
        <f>IF(F775="Kredit",EOMONTH(B775,0),"")</f>
        <v>46173</v>
      </c>
      <c r="R775" s="17" t="str">
        <f>TEXT(B775,"dddd")</f>
        <v>Thursday</v>
      </c>
    </row>
    <row r="776" spans="1:18">
      <c r="A776" s="5" t="s">
        <v>783</v>
      </c>
      <c r="B776" s="8">
        <v>46138</v>
      </c>
      <c r="C776" s="5" t="s">
        <v>967</v>
      </c>
      <c r="D776" s="5" t="s">
        <v>20</v>
      </c>
      <c r="E776" s="5" t="s">
        <v>964</v>
      </c>
      <c r="F776" s="5" t="s">
        <v>4</v>
      </c>
      <c r="G776" s="5">
        <v>4</v>
      </c>
      <c r="H776" s="5" t="s">
        <v>963</v>
      </c>
      <c r="I776" s="13">
        <v>776605118</v>
      </c>
      <c r="J776" s="10" t="s">
        <v>1759</v>
      </c>
      <c r="K776" t="str">
        <f>LEFT(C776,FIND(" ",C776)-1)&amp;"-"&amp;E776&amp;" "&amp;"Filialina çardırılma"</f>
        <v>Aysel-Sumqayıt Filialina çardırılma</v>
      </c>
      <c r="L776">
        <f>VLOOKUP(D776,Anbar!$A$2:$B$5,2,FALSE)</f>
        <v>15</v>
      </c>
      <c r="M776">
        <f>VLOOKUP(D776,Anbar!$A$2:$C$5,3,FALSE)</f>
        <v>45</v>
      </c>
      <c r="N776">
        <f t="shared" si="24"/>
        <v>180</v>
      </c>
      <c r="O776">
        <f t="shared" si="25"/>
        <v>120</v>
      </c>
      <c r="P776" t="str">
        <f>IF(AND(F776="Nağd",G776&gt;5),M776*0.9,"0%")</f>
        <v>0%</v>
      </c>
      <c r="Q776" s="9">
        <f>IF(F776="Kredit",EOMONTH(B776,0),"")</f>
        <v>46142</v>
      </c>
      <c r="R776" s="17" t="str">
        <f>TEXT(B776,"dddd")</f>
        <v>Sunday</v>
      </c>
    </row>
    <row r="777" spans="1:18">
      <c r="A777" s="5" t="s">
        <v>784</v>
      </c>
      <c r="B777" s="8">
        <v>46166</v>
      </c>
      <c r="C777" s="5" t="s">
        <v>978</v>
      </c>
      <c r="D777" s="5" t="s">
        <v>20</v>
      </c>
      <c r="E777" s="5" t="s">
        <v>980</v>
      </c>
      <c r="F777" s="5" t="s">
        <v>4</v>
      </c>
      <c r="G777" s="5">
        <v>5</v>
      </c>
      <c r="H777" s="5" t="s">
        <v>963</v>
      </c>
      <c r="I777" s="13">
        <v>550947637</v>
      </c>
      <c r="J777" s="10" t="s">
        <v>1760</v>
      </c>
      <c r="K777" t="str">
        <f>LEFT(C777,FIND(" ",C777)-1)&amp;"-"&amp;E777&amp;" "&amp;"Filialina çardırılma"</f>
        <v>Əli-Sumqayit Filialina çardırılma</v>
      </c>
      <c r="L777">
        <f>VLOOKUP(D777,Anbar!$A$2:$B$5,2,FALSE)</f>
        <v>15</v>
      </c>
      <c r="M777">
        <f>VLOOKUP(D777,Anbar!$A$2:$C$5,3,FALSE)</f>
        <v>45</v>
      </c>
      <c r="N777">
        <f t="shared" si="24"/>
        <v>225</v>
      </c>
      <c r="O777">
        <f t="shared" si="25"/>
        <v>150</v>
      </c>
      <c r="P777" t="str">
        <f>IF(AND(F777="Nağd",G777&gt;5),M777*0.9,"0%")</f>
        <v>0%</v>
      </c>
      <c r="Q777" s="9">
        <f>IF(F777="Kredit",EOMONTH(B777,0),"")</f>
        <v>46173</v>
      </c>
      <c r="R777" s="17" t="str">
        <f>TEXT(B777,"dddd")</f>
        <v>Sunday</v>
      </c>
    </row>
    <row r="778" spans="1:18">
      <c r="A778" s="5" t="s">
        <v>785</v>
      </c>
      <c r="B778" s="8">
        <v>46041</v>
      </c>
      <c r="C778" s="5" t="s">
        <v>6</v>
      </c>
      <c r="D778" s="5" t="s">
        <v>15</v>
      </c>
      <c r="E778" s="5" t="s">
        <v>982</v>
      </c>
      <c r="F778" s="5" t="s">
        <v>965</v>
      </c>
      <c r="G778" s="5">
        <v>5</v>
      </c>
      <c r="H778" s="5" t="s">
        <v>963</v>
      </c>
      <c r="I778" s="13">
        <v>709992261</v>
      </c>
      <c r="J778" s="10" t="s">
        <v>1761</v>
      </c>
      <c r="K778" t="str">
        <f>LEFT(C778,FIND(" ",C778)-1)&amp;"-"&amp;E778&amp;" "&amp;"Filialina çardırılma"</f>
        <v>Zaur-Baki Filialina çardırılma</v>
      </c>
      <c r="L778">
        <f>VLOOKUP(D778,Anbar!$A$2:$B$5,2,FALSE)</f>
        <v>600</v>
      </c>
      <c r="M778">
        <f>VLOOKUP(D778,Anbar!$A$2:$C$5,3,FALSE)</f>
        <v>950</v>
      </c>
      <c r="N778">
        <f t="shared" si="24"/>
        <v>4750</v>
      </c>
      <c r="O778">
        <f t="shared" si="25"/>
        <v>1750</v>
      </c>
      <c r="P778" t="str">
        <f>IF(AND(F778="Nağd",G778&gt;5),M778*0.9,"0%")</f>
        <v>0%</v>
      </c>
      <c r="Q778" s="9" t="str">
        <f>IF(F778="Kredit",EOMONTH(B778,0),"")</f>
        <v/>
      </c>
      <c r="R778" s="17" t="str">
        <f>TEXT(B778,"dddd")</f>
        <v>Monday</v>
      </c>
    </row>
    <row r="779" spans="1:18">
      <c r="A779" s="5" t="s">
        <v>786</v>
      </c>
      <c r="B779" s="8">
        <v>46052</v>
      </c>
      <c r="C779" s="5" t="s">
        <v>978</v>
      </c>
      <c r="D779" s="5" t="s">
        <v>20</v>
      </c>
      <c r="E779" s="5" t="s">
        <v>966</v>
      </c>
      <c r="F779" s="5" t="s">
        <v>4</v>
      </c>
      <c r="G779" s="5">
        <v>8</v>
      </c>
      <c r="H779" s="5" t="s">
        <v>963</v>
      </c>
      <c r="I779" s="13">
        <v>514918185</v>
      </c>
      <c r="J779" s="10" t="s">
        <v>1762</v>
      </c>
      <c r="K779" t="str">
        <f>LEFT(C779,FIND(" ",C779)-1)&amp;"-"&amp;E779&amp;" "&amp;"Filialina çardırılma"</f>
        <v>Əli-Bakı Filialina çardırılma</v>
      </c>
      <c r="L779">
        <f>VLOOKUP(D779,Anbar!$A$2:$B$5,2,FALSE)</f>
        <v>15</v>
      </c>
      <c r="M779">
        <f>VLOOKUP(D779,Anbar!$A$2:$C$5,3,FALSE)</f>
        <v>45</v>
      </c>
      <c r="N779">
        <f t="shared" si="24"/>
        <v>360</v>
      </c>
      <c r="O779">
        <f t="shared" si="25"/>
        <v>240</v>
      </c>
      <c r="P779" t="str">
        <f>IF(AND(F779="Nağd",G779&gt;5),M779*0.9,"0%")</f>
        <v>0%</v>
      </c>
      <c r="Q779" s="9">
        <f>IF(F779="Kredit",EOMONTH(B779,0),"")</f>
        <v>46053</v>
      </c>
      <c r="R779" s="17" t="str">
        <f>TEXT(B779,"dddd")</f>
        <v>Friday</v>
      </c>
    </row>
    <row r="780" spans="1:18">
      <c r="A780" s="5" t="s">
        <v>787</v>
      </c>
      <c r="B780" s="8">
        <v>46172</v>
      </c>
      <c r="C780" s="5" t="s">
        <v>976</v>
      </c>
      <c r="D780" s="5" t="s">
        <v>15</v>
      </c>
      <c r="E780" s="5" t="s">
        <v>964</v>
      </c>
      <c r="F780" s="5" t="s">
        <v>4</v>
      </c>
      <c r="G780" s="5">
        <v>9</v>
      </c>
      <c r="H780" s="5" t="s">
        <v>963</v>
      </c>
      <c r="I780" s="13">
        <v>516549391</v>
      </c>
      <c r="J780" s="10" t="s">
        <v>1763</v>
      </c>
      <c r="K780" t="str">
        <f>LEFT(C780,FIND(" ",C780)-1)&amp;"-"&amp;E780&amp;" "&amp;"Filialina çardırılma"</f>
        <v>Nərgin-Sumqayıt Filialina çardırılma</v>
      </c>
      <c r="L780">
        <f>VLOOKUP(D780,Anbar!$A$2:$B$5,2,FALSE)</f>
        <v>600</v>
      </c>
      <c r="M780">
        <f>VLOOKUP(D780,Anbar!$A$2:$C$5,3,FALSE)</f>
        <v>950</v>
      </c>
      <c r="N780">
        <f t="shared" si="24"/>
        <v>8550</v>
      </c>
      <c r="O780">
        <f t="shared" si="25"/>
        <v>3150</v>
      </c>
      <c r="P780" t="str">
        <f>IF(AND(F780="Nağd",G780&gt;5),M780*0.9,"0%")</f>
        <v>0%</v>
      </c>
      <c r="Q780" s="9">
        <f>IF(F780="Kredit",EOMONTH(B780,0),"")</f>
        <v>46173</v>
      </c>
      <c r="R780" s="17" t="str">
        <f>TEXT(B780,"dddd")</f>
        <v>Saturday</v>
      </c>
    </row>
    <row r="781" spans="1:18">
      <c r="A781" s="5" t="s">
        <v>788</v>
      </c>
      <c r="B781" s="8">
        <v>46092</v>
      </c>
      <c r="C781" s="5" t="s">
        <v>976</v>
      </c>
      <c r="D781" s="5" t="s">
        <v>20</v>
      </c>
      <c r="E781" s="5" t="s">
        <v>964</v>
      </c>
      <c r="F781" s="5" t="s">
        <v>983</v>
      </c>
      <c r="G781" s="5">
        <v>9</v>
      </c>
      <c r="H781" s="5" t="s">
        <v>963</v>
      </c>
      <c r="I781" s="13">
        <v>771721895</v>
      </c>
      <c r="J781" s="10" t="s">
        <v>1764</v>
      </c>
      <c r="K781" t="str">
        <f>LEFT(C781,FIND(" ",C781)-1)&amp;"-"&amp;E781&amp;" "&amp;"Filialina çardırılma"</f>
        <v>Nərgin-Sumqayıt Filialina çardırılma</v>
      </c>
      <c r="L781">
        <f>VLOOKUP(D781,Anbar!$A$2:$B$5,2,FALSE)</f>
        <v>15</v>
      </c>
      <c r="M781">
        <f>VLOOKUP(D781,Anbar!$A$2:$C$5,3,FALSE)</f>
        <v>45</v>
      </c>
      <c r="N781">
        <f t="shared" si="24"/>
        <v>405</v>
      </c>
      <c r="O781">
        <f t="shared" si="25"/>
        <v>270</v>
      </c>
      <c r="P781" t="str">
        <f>IF(AND(F781="Nağd",G781&gt;5),M781*0.9,"0%")</f>
        <v>0%</v>
      </c>
      <c r="Q781" s="9" t="str">
        <f>IF(F781="Kredit",EOMONTH(B781,0),"")</f>
        <v/>
      </c>
      <c r="R781" s="17" t="str">
        <f>TEXT(B781,"dddd")</f>
        <v>Wednesday</v>
      </c>
    </row>
    <row r="782" spans="1:18">
      <c r="A782" s="5" t="s">
        <v>789</v>
      </c>
      <c r="B782" s="8">
        <v>46093</v>
      </c>
      <c r="C782" s="5" t="s">
        <v>967</v>
      </c>
      <c r="D782" s="5" t="s">
        <v>20</v>
      </c>
      <c r="E782" s="5" t="s">
        <v>9</v>
      </c>
      <c r="F782" s="5" t="s">
        <v>965</v>
      </c>
      <c r="G782" s="5">
        <v>3</v>
      </c>
      <c r="H782" s="5" t="s">
        <v>963</v>
      </c>
      <c r="I782" s="13">
        <v>558025392</v>
      </c>
      <c r="J782" s="10" t="s">
        <v>1765</v>
      </c>
      <c r="K782" t="str">
        <f>LEFT(C782,FIND(" ",C782)-1)&amp;"-"&amp;E782&amp;" "&amp;"Filialina çardırılma"</f>
        <v>Aysel-Gence Filialina çardırılma</v>
      </c>
      <c r="L782">
        <f>VLOOKUP(D782,Anbar!$A$2:$B$5,2,FALSE)</f>
        <v>15</v>
      </c>
      <c r="M782">
        <f>VLOOKUP(D782,Anbar!$A$2:$C$5,3,FALSE)</f>
        <v>45</v>
      </c>
      <c r="N782">
        <f t="shared" si="24"/>
        <v>135</v>
      </c>
      <c r="O782">
        <f t="shared" si="25"/>
        <v>90</v>
      </c>
      <c r="P782" t="str">
        <f>IF(AND(F782="Nağd",G782&gt;5),M782*0.9,"0%")</f>
        <v>0%</v>
      </c>
      <c r="Q782" s="9" t="str">
        <f>IF(F782="Kredit",EOMONTH(B782,0),"")</f>
        <v/>
      </c>
      <c r="R782" s="17" t="str">
        <f>TEXT(B782,"dddd")</f>
        <v>Thursday</v>
      </c>
    </row>
    <row r="783" spans="1:18">
      <c r="A783" s="5" t="s">
        <v>790</v>
      </c>
      <c r="B783" s="8">
        <v>46143</v>
      </c>
      <c r="C783" s="5" t="s">
        <v>978</v>
      </c>
      <c r="D783" s="5" t="s">
        <v>20</v>
      </c>
      <c r="E783" s="5" t="s">
        <v>981</v>
      </c>
      <c r="F783" s="5" t="s">
        <v>965</v>
      </c>
      <c r="G783" s="5">
        <v>1</v>
      </c>
      <c r="H783" s="5" t="s">
        <v>963</v>
      </c>
      <c r="I783" s="13">
        <v>506436068</v>
      </c>
      <c r="J783" s="10" t="s">
        <v>1766</v>
      </c>
      <c r="K783" t="str">
        <f>LEFT(C783,FIND(" ",C783)-1)&amp;"-"&amp;E783&amp;" "&amp;"Filialina çardırılma"</f>
        <v>Əli-Gəncə Filialina çardırılma</v>
      </c>
      <c r="L783">
        <f>VLOOKUP(D783,Anbar!$A$2:$B$5,2,FALSE)</f>
        <v>15</v>
      </c>
      <c r="M783">
        <f>VLOOKUP(D783,Anbar!$A$2:$C$5,3,FALSE)</f>
        <v>45</v>
      </c>
      <c r="N783">
        <f t="shared" si="24"/>
        <v>45</v>
      </c>
      <c r="O783">
        <f t="shared" si="25"/>
        <v>30</v>
      </c>
      <c r="P783" t="str">
        <f>IF(AND(F783="Nağd",G783&gt;5),M783*0.9,"0%")</f>
        <v>0%</v>
      </c>
      <c r="Q783" s="9" t="str">
        <f>IF(F783="Kredit",EOMONTH(B783,0),"")</f>
        <v/>
      </c>
      <c r="R783" s="17" t="str">
        <f>TEXT(B783,"dddd")</f>
        <v>Friday</v>
      </c>
    </row>
    <row r="784" spans="1:18">
      <c r="A784" s="5" t="s">
        <v>791</v>
      </c>
      <c r="B784" s="8">
        <v>46142</v>
      </c>
      <c r="C784" s="5" t="s">
        <v>977</v>
      </c>
      <c r="D784" s="5" t="s">
        <v>968</v>
      </c>
      <c r="E784" s="5" t="s">
        <v>966</v>
      </c>
      <c r="F784" s="5" t="s">
        <v>4</v>
      </c>
      <c r="G784" s="5">
        <v>7</v>
      </c>
      <c r="H784" s="5" t="s">
        <v>963</v>
      </c>
      <c r="I784" s="13">
        <v>553638672</v>
      </c>
      <c r="J784" s="10" t="s">
        <v>1767</v>
      </c>
      <c r="K784" t="str">
        <f>LEFT(C784,FIND(" ",C784)-1)&amp;"-"&amp;E784&amp;" "&amp;"Filialina çardırılma"</f>
        <v>Elnur-Bakı Filialina çardırılma</v>
      </c>
      <c r="L784">
        <f>VLOOKUP(D784,Anbar!$A$2:$B$5,2,FALSE)</f>
        <v>400</v>
      </c>
      <c r="M784">
        <f>VLOOKUP(D784,Anbar!$A$2:$C$5,3,FALSE)</f>
        <v>650</v>
      </c>
      <c r="N784">
        <f t="shared" si="24"/>
        <v>4550</v>
      </c>
      <c r="O784">
        <f t="shared" si="25"/>
        <v>1750</v>
      </c>
      <c r="P784" t="str">
        <f>IF(AND(F784="Nağd",G784&gt;5),M784*0.9,"0%")</f>
        <v>0%</v>
      </c>
      <c r="Q784" s="9">
        <f>IF(F784="Kredit",EOMONTH(B784,0),"")</f>
        <v>46142</v>
      </c>
      <c r="R784" s="17" t="str">
        <f>TEXT(B784,"dddd")</f>
        <v>Thursday</v>
      </c>
    </row>
    <row r="785" spans="1:18">
      <c r="A785" s="5" t="s">
        <v>792</v>
      </c>
      <c r="B785" s="8">
        <v>46136</v>
      </c>
      <c r="C785" s="5" t="s">
        <v>975</v>
      </c>
      <c r="D785" s="5" t="s">
        <v>971</v>
      </c>
      <c r="E785" s="5" t="s">
        <v>982</v>
      </c>
      <c r="F785" s="5" t="s">
        <v>4</v>
      </c>
      <c r="G785" s="5">
        <v>7</v>
      </c>
      <c r="H785" s="5" t="s">
        <v>963</v>
      </c>
      <c r="I785" s="13">
        <v>500520973</v>
      </c>
      <c r="J785" s="10" t="s">
        <v>1768</v>
      </c>
      <c r="K785" t="str">
        <f>LEFT(C785,FIND(" ",C785)-1)&amp;"-"&amp;E785&amp;" "&amp;"Filialina çardırılma"</f>
        <v>Murad-Baki Filialina çardırılma</v>
      </c>
      <c r="L785">
        <f>VLOOKUP(D785,Anbar!$A$2:$B$5,2,FALSE)</f>
        <v>1200</v>
      </c>
      <c r="M785">
        <f>VLOOKUP(D785,Anbar!$A$2:$C$5,3,FALSE)</f>
        <v>1800</v>
      </c>
      <c r="N785">
        <f t="shared" si="24"/>
        <v>12600</v>
      </c>
      <c r="O785">
        <f t="shared" si="25"/>
        <v>4200</v>
      </c>
      <c r="P785" t="str">
        <f>IF(AND(F785="Nağd",G785&gt;5),M785*0.9,"0%")</f>
        <v>0%</v>
      </c>
      <c r="Q785" s="9">
        <f>IF(F785="Kredit",EOMONTH(B785,0),"")</f>
        <v>46142</v>
      </c>
      <c r="R785" s="17" t="str">
        <f>TEXT(B785,"dddd")</f>
        <v>Friday</v>
      </c>
    </row>
    <row r="786" spans="1:18">
      <c r="A786" s="5" t="s">
        <v>793</v>
      </c>
      <c r="B786" s="8">
        <v>46174</v>
      </c>
      <c r="C786" s="5" t="s">
        <v>6</v>
      </c>
      <c r="D786" s="5" t="s">
        <v>15</v>
      </c>
      <c r="E786" s="5" t="s">
        <v>964</v>
      </c>
      <c r="F786" s="5" t="s">
        <v>965</v>
      </c>
      <c r="G786" s="5">
        <v>9</v>
      </c>
      <c r="H786" s="5" t="s">
        <v>963</v>
      </c>
      <c r="I786" s="13">
        <v>512909594</v>
      </c>
      <c r="J786" s="10" t="s">
        <v>1769</v>
      </c>
      <c r="K786" t="str">
        <f>LEFT(C786,FIND(" ",C786)-1)&amp;"-"&amp;E786&amp;" "&amp;"Filialina çardırılma"</f>
        <v>Zaur-Sumqayıt Filialina çardırılma</v>
      </c>
      <c r="L786">
        <f>VLOOKUP(D786,Anbar!$A$2:$B$5,2,FALSE)</f>
        <v>600</v>
      </c>
      <c r="M786">
        <f>VLOOKUP(D786,Anbar!$A$2:$C$5,3,FALSE)</f>
        <v>950</v>
      </c>
      <c r="N786">
        <f t="shared" si="24"/>
        <v>8550</v>
      </c>
      <c r="O786">
        <f t="shared" si="25"/>
        <v>3150</v>
      </c>
      <c r="P786">
        <f>IF(AND(F786="Nağd",G786&gt;5),M786*0.9,"0%")</f>
        <v>855</v>
      </c>
      <c r="Q786" s="9" t="str">
        <f>IF(F786="Kredit",EOMONTH(B786,0),"")</f>
        <v/>
      </c>
      <c r="R786" s="17" t="str">
        <f>TEXT(B786,"dddd")</f>
        <v>Monday</v>
      </c>
    </row>
    <row r="787" spans="1:18">
      <c r="A787" s="5" t="s">
        <v>794</v>
      </c>
      <c r="B787" s="8">
        <v>46079</v>
      </c>
      <c r="C787" s="5" t="s">
        <v>6</v>
      </c>
      <c r="D787" s="5" t="s">
        <v>15</v>
      </c>
      <c r="E787" s="5" t="s">
        <v>980</v>
      </c>
      <c r="F787" s="5" t="s">
        <v>7</v>
      </c>
      <c r="G787" s="5">
        <v>10</v>
      </c>
      <c r="H787" s="5" t="s">
        <v>963</v>
      </c>
      <c r="I787" s="13">
        <v>700416806</v>
      </c>
      <c r="J787" s="10" t="s">
        <v>1770</v>
      </c>
      <c r="K787" t="str">
        <f>LEFT(C787,FIND(" ",C787)-1)&amp;"-"&amp;E787&amp;" "&amp;"Filialina çardırılma"</f>
        <v>Zaur-Sumqayit Filialina çardırılma</v>
      </c>
      <c r="L787">
        <f>VLOOKUP(D787,Anbar!$A$2:$B$5,2,FALSE)</f>
        <v>600</v>
      </c>
      <c r="M787">
        <f>VLOOKUP(D787,Anbar!$A$2:$C$5,3,FALSE)</f>
        <v>950</v>
      </c>
      <c r="N787">
        <f t="shared" si="24"/>
        <v>9500</v>
      </c>
      <c r="O787">
        <f t="shared" si="25"/>
        <v>3500</v>
      </c>
      <c r="P787" t="str">
        <f>IF(AND(F787="Nağd",G787&gt;5),M787*0.9,"0%")</f>
        <v>0%</v>
      </c>
      <c r="Q787" s="9" t="str">
        <f>IF(F787="Kredit",EOMONTH(B787,0),"")</f>
        <v/>
      </c>
      <c r="R787" s="17" t="str">
        <f>TEXT(B787,"dddd")</f>
        <v>Thursday</v>
      </c>
    </row>
    <row r="788" spans="1:18">
      <c r="A788" s="5" t="s">
        <v>795</v>
      </c>
      <c r="B788" s="8">
        <v>46069</v>
      </c>
      <c r="C788" s="5" t="s">
        <v>979</v>
      </c>
      <c r="D788" s="5" t="s">
        <v>971</v>
      </c>
      <c r="E788" s="5" t="s">
        <v>982</v>
      </c>
      <c r="F788" s="5" t="s">
        <v>965</v>
      </c>
      <c r="G788" s="5">
        <v>9</v>
      </c>
      <c r="H788" s="5" t="s">
        <v>963</v>
      </c>
      <c r="I788" s="13">
        <v>775642185</v>
      </c>
      <c r="J788" s="10" t="s">
        <v>1771</v>
      </c>
      <c r="K788" t="str">
        <f>LEFT(C788,FIND(" ",C788)-1)&amp;"-"&amp;E788&amp;" "&amp;"Filialina çardırılma"</f>
        <v>Leyla-Baki Filialina çardırılma</v>
      </c>
      <c r="L788">
        <f>VLOOKUP(D788,Anbar!$A$2:$B$5,2,FALSE)</f>
        <v>1200</v>
      </c>
      <c r="M788">
        <f>VLOOKUP(D788,Anbar!$A$2:$C$5,3,FALSE)</f>
        <v>1800</v>
      </c>
      <c r="N788">
        <f t="shared" si="24"/>
        <v>16200</v>
      </c>
      <c r="O788">
        <f t="shared" si="25"/>
        <v>5400</v>
      </c>
      <c r="P788">
        <f>IF(AND(F788="Nağd",G788&gt;5),M788*0.9,"0%")</f>
        <v>1620</v>
      </c>
      <c r="Q788" s="9" t="str">
        <f>IF(F788="Kredit",EOMONTH(B788,0),"")</f>
        <v/>
      </c>
      <c r="R788" s="17" t="str">
        <f>TEXT(B788,"dddd")</f>
        <v>Monday</v>
      </c>
    </row>
    <row r="789" spans="1:18">
      <c r="A789" s="5" t="s">
        <v>796</v>
      </c>
      <c r="B789" s="8">
        <v>46173</v>
      </c>
      <c r="C789" s="5" t="s">
        <v>967</v>
      </c>
      <c r="D789" s="5" t="s">
        <v>15</v>
      </c>
      <c r="E789" s="5" t="s">
        <v>980</v>
      </c>
      <c r="F789" s="5" t="s">
        <v>4</v>
      </c>
      <c r="G789" s="5">
        <v>8</v>
      </c>
      <c r="H789" s="5" t="s">
        <v>963</v>
      </c>
      <c r="I789" s="13">
        <v>506701182</v>
      </c>
      <c r="J789" s="10" t="s">
        <v>1772</v>
      </c>
      <c r="K789" t="str">
        <f>LEFT(C789,FIND(" ",C789)-1)&amp;"-"&amp;E789&amp;" "&amp;"Filialina çardırılma"</f>
        <v>Aysel-Sumqayit Filialina çardırılma</v>
      </c>
      <c r="L789">
        <f>VLOOKUP(D789,Anbar!$A$2:$B$5,2,FALSE)</f>
        <v>600</v>
      </c>
      <c r="M789">
        <f>VLOOKUP(D789,Anbar!$A$2:$C$5,3,FALSE)</f>
        <v>950</v>
      </c>
      <c r="N789">
        <f t="shared" si="24"/>
        <v>7600</v>
      </c>
      <c r="O789">
        <f t="shared" si="25"/>
        <v>2800</v>
      </c>
      <c r="P789" t="str">
        <f>IF(AND(F789="Nağd",G789&gt;5),M789*0.9,"0%")</f>
        <v>0%</v>
      </c>
      <c r="Q789" s="9">
        <f>IF(F789="Kredit",EOMONTH(B789,0),"")</f>
        <v>46173</v>
      </c>
      <c r="R789" s="17" t="str">
        <f>TEXT(B789,"dddd")</f>
        <v>Sunday</v>
      </c>
    </row>
    <row r="790" spans="1:18">
      <c r="A790" s="5" t="s">
        <v>797</v>
      </c>
      <c r="B790" s="8">
        <v>46058</v>
      </c>
      <c r="C790" s="5" t="s">
        <v>6</v>
      </c>
      <c r="D790" s="5" t="s">
        <v>15</v>
      </c>
      <c r="E790" s="5" t="s">
        <v>981</v>
      </c>
      <c r="F790" s="5" t="s">
        <v>4</v>
      </c>
      <c r="G790" s="5">
        <v>6</v>
      </c>
      <c r="H790" s="5" t="s">
        <v>963</v>
      </c>
      <c r="I790" s="13">
        <v>709390172</v>
      </c>
      <c r="J790" s="10" t="s">
        <v>1773</v>
      </c>
      <c r="K790" t="str">
        <f>LEFT(C790,FIND(" ",C790)-1)&amp;"-"&amp;E790&amp;" "&amp;"Filialina çardırılma"</f>
        <v>Zaur-Gəncə Filialina çardırılma</v>
      </c>
      <c r="L790">
        <f>VLOOKUP(D790,Anbar!$A$2:$B$5,2,FALSE)</f>
        <v>600</v>
      </c>
      <c r="M790">
        <f>VLOOKUP(D790,Anbar!$A$2:$C$5,3,FALSE)</f>
        <v>950</v>
      </c>
      <c r="N790">
        <f t="shared" si="24"/>
        <v>5700</v>
      </c>
      <c r="O790">
        <f t="shared" si="25"/>
        <v>2100</v>
      </c>
      <c r="P790" t="str">
        <f>IF(AND(F790="Nağd",G790&gt;5),M790*0.9,"0%")</f>
        <v>0%</v>
      </c>
      <c r="Q790" s="9">
        <f>IF(F790="Kredit",EOMONTH(B790,0),"")</f>
        <v>46081</v>
      </c>
      <c r="R790" s="17" t="str">
        <f>TEXT(B790,"dddd")</f>
        <v>Thursday</v>
      </c>
    </row>
    <row r="791" spans="1:18">
      <c r="A791" s="5" t="s">
        <v>798</v>
      </c>
      <c r="B791" s="8">
        <v>46138</v>
      </c>
      <c r="C791" s="5" t="s">
        <v>979</v>
      </c>
      <c r="D791" s="5" t="s">
        <v>20</v>
      </c>
      <c r="E791" s="5" t="s">
        <v>981</v>
      </c>
      <c r="F791" s="5" t="s">
        <v>4</v>
      </c>
      <c r="G791" s="5">
        <v>6</v>
      </c>
      <c r="H791" s="5" t="s">
        <v>963</v>
      </c>
      <c r="I791" s="13">
        <v>556669034</v>
      </c>
      <c r="J791" s="10" t="s">
        <v>1774</v>
      </c>
      <c r="K791" t="str">
        <f>LEFT(C791,FIND(" ",C791)-1)&amp;"-"&amp;E791&amp;" "&amp;"Filialina çardırılma"</f>
        <v>Leyla-Gəncə Filialina çardırılma</v>
      </c>
      <c r="L791">
        <f>VLOOKUP(D791,Anbar!$A$2:$B$5,2,FALSE)</f>
        <v>15</v>
      </c>
      <c r="M791">
        <f>VLOOKUP(D791,Anbar!$A$2:$C$5,3,FALSE)</f>
        <v>45</v>
      </c>
      <c r="N791">
        <f t="shared" si="24"/>
        <v>270</v>
      </c>
      <c r="O791">
        <f t="shared" si="25"/>
        <v>180</v>
      </c>
      <c r="P791" t="str">
        <f>IF(AND(F791="Nağd",G791&gt;5),M791*0.9,"0%")</f>
        <v>0%</v>
      </c>
      <c r="Q791" s="9">
        <f>IF(F791="Kredit",EOMONTH(B791,0),"")</f>
        <v>46142</v>
      </c>
      <c r="R791" s="17" t="str">
        <f>TEXT(B791,"dddd")</f>
        <v>Sunday</v>
      </c>
    </row>
    <row r="792" spans="1:18">
      <c r="A792" s="5" t="s">
        <v>799</v>
      </c>
      <c r="B792" s="8">
        <v>46101</v>
      </c>
      <c r="C792" s="5" t="s">
        <v>979</v>
      </c>
      <c r="D792" s="5" t="s">
        <v>15</v>
      </c>
      <c r="E792" s="5" t="s">
        <v>982</v>
      </c>
      <c r="F792" s="5" t="s">
        <v>965</v>
      </c>
      <c r="G792" s="5">
        <v>7</v>
      </c>
      <c r="H792" s="5" t="s">
        <v>963</v>
      </c>
      <c r="I792" s="13">
        <v>772601024</v>
      </c>
      <c r="J792" s="10" t="s">
        <v>1775</v>
      </c>
      <c r="K792" t="str">
        <f>LEFT(C792,FIND(" ",C792)-1)&amp;"-"&amp;E792&amp;" "&amp;"Filialina çardırılma"</f>
        <v>Leyla-Baki Filialina çardırılma</v>
      </c>
      <c r="L792">
        <f>VLOOKUP(D792,Anbar!$A$2:$B$5,2,FALSE)</f>
        <v>600</v>
      </c>
      <c r="M792">
        <f>VLOOKUP(D792,Anbar!$A$2:$C$5,3,FALSE)</f>
        <v>950</v>
      </c>
      <c r="N792">
        <f t="shared" si="24"/>
        <v>6650</v>
      </c>
      <c r="O792">
        <f t="shared" si="25"/>
        <v>2450</v>
      </c>
      <c r="P792">
        <f>IF(AND(F792="Nağd",G792&gt;5),M792*0.9,"0%")</f>
        <v>855</v>
      </c>
      <c r="Q792" s="9" t="str">
        <f>IF(F792="Kredit",EOMONTH(B792,0),"")</f>
        <v/>
      </c>
      <c r="R792" s="17" t="str">
        <f>TEXT(B792,"dddd")</f>
        <v>Friday</v>
      </c>
    </row>
    <row r="793" spans="1:18">
      <c r="A793" s="5" t="s">
        <v>800</v>
      </c>
      <c r="B793" s="8">
        <v>46153</v>
      </c>
      <c r="C793" s="5" t="s">
        <v>976</v>
      </c>
      <c r="D793" s="5" t="s">
        <v>15</v>
      </c>
      <c r="E793" s="5" t="s">
        <v>9</v>
      </c>
      <c r="F793" s="5" t="s">
        <v>4</v>
      </c>
      <c r="G793" s="5">
        <v>9</v>
      </c>
      <c r="H793" s="5" t="s">
        <v>963</v>
      </c>
      <c r="I793" s="13">
        <v>776909895</v>
      </c>
      <c r="J793" s="10" t="s">
        <v>1776</v>
      </c>
      <c r="K793" t="str">
        <f>LEFT(C793,FIND(" ",C793)-1)&amp;"-"&amp;E793&amp;" "&amp;"Filialina çardırılma"</f>
        <v>Nərgin-Gence Filialina çardırılma</v>
      </c>
      <c r="L793">
        <f>VLOOKUP(D793,Anbar!$A$2:$B$5,2,FALSE)</f>
        <v>600</v>
      </c>
      <c r="M793">
        <f>VLOOKUP(D793,Anbar!$A$2:$C$5,3,FALSE)</f>
        <v>950</v>
      </c>
      <c r="N793">
        <f t="shared" si="24"/>
        <v>8550</v>
      </c>
      <c r="O793">
        <f t="shared" si="25"/>
        <v>3150</v>
      </c>
      <c r="P793" t="str">
        <f>IF(AND(F793="Nağd",G793&gt;5),M793*0.9,"0%")</f>
        <v>0%</v>
      </c>
      <c r="Q793" s="9">
        <f>IF(F793="Kredit",EOMONTH(B793,0),"")</f>
        <v>46173</v>
      </c>
      <c r="R793" s="17" t="str">
        <f>TEXT(B793,"dddd")</f>
        <v>Monday</v>
      </c>
    </row>
    <row r="794" spans="1:18">
      <c r="A794" s="5" t="s">
        <v>801</v>
      </c>
      <c r="B794" s="8">
        <v>46138</v>
      </c>
      <c r="C794" s="5" t="s">
        <v>977</v>
      </c>
      <c r="D794" s="5" t="s">
        <v>971</v>
      </c>
      <c r="E794" s="5" t="s">
        <v>964</v>
      </c>
      <c r="F794" s="5" t="s">
        <v>965</v>
      </c>
      <c r="G794" s="5">
        <v>5</v>
      </c>
      <c r="H794" s="5" t="s">
        <v>963</v>
      </c>
      <c r="I794" s="13">
        <v>774262985</v>
      </c>
      <c r="J794" s="10" t="s">
        <v>1777</v>
      </c>
      <c r="K794" t="str">
        <f>LEFT(C794,FIND(" ",C794)-1)&amp;"-"&amp;E794&amp;" "&amp;"Filialina çardırılma"</f>
        <v>Elnur-Sumqayıt Filialina çardırılma</v>
      </c>
      <c r="L794">
        <f>VLOOKUP(D794,Anbar!$A$2:$B$5,2,FALSE)</f>
        <v>1200</v>
      </c>
      <c r="M794">
        <f>VLOOKUP(D794,Anbar!$A$2:$C$5,3,FALSE)</f>
        <v>1800</v>
      </c>
      <c r="N794">
        <f t="shared" si="24"/>
        <v>9000</v>
      </c>
      <c r="O794">
        <f t="shared" si="25"/>
        <v>3000</v>
      </c>
      <c r="P794" t="str">
        <f>IF(AND(F794="Nağd",G794&gt;5),M794*0.9,"0%")</f>
        <v>0%</v>
      </c>
      <c r="Q794" s="9" t="str">
        <f>IF(F794="Kredit",EOMONTH(B794,0),"")</f>
        <v/>
      </c>
      <c r="R794" s="17" t="str">
        <f>TEXT(B794,"dddd")</f>
        <v>Sunday</v>
      </c>
    </row>
    <row r="795" spans="1:18">
      <c r="A795" s="5" t="s">
        <v>802</v>
      </c>
      <c r="B795" s="8">
        <v>46109</v>
      </c>
      <c r="C795" s="5" t="s">
        <v>978</v>
      </c>
      <c r="D795" s="5" t="s">
        <v>20</v>
      </c>
      <c r="E795" s="5" t="s">
        <v>966</v>
      </c>
      <c r="F795" s="5" t="s">
        <v>965</v>
      </c>
      <c r="G795" s="5">
        <v>3</v>
      </c>
      <c r="H795" s="5" t="s">
        <v>963</v>
      </c>
      <c r="I795" s="13">
        <v>553142210</v>
      </c>
      <c r="J795" s="10" t="s">
        <v>1778</v>
      </c>
      <c r="K795" t="str">
        <f>LEFT(C795,FIND(" ",C795)-1)&amp;"-"&amp;E795&amp;" "&amp;"Filialina çardırılma"</f>
        <v>Əli-Bakı Filialina çardırılma</v>
      </c>
      <c r="L795">
        <f>VLOOKUP(D795,Anbar!$A$2:$B$5,2,FALSE)</f>
        <v>15</v>
      </c>
      <c r="M795">
        <f>VLOOKUP(D795,Anbar!$A$2:$C$5,3,FALSE)</f>
        <v>45</v>
      </c>
      <c r="N795">
        <f t="shared" si="24"/>
        <v>135</v>
      </c>
      <c r="O795">
        <f t="shared" si="25"/>
        <v>90</v>
      </c>
      <c r="P795" t="str">
        <f>IF(AND(F795="Nağd",G795&gt;5),M795*0.9,"0%")</f>
        <v>0%</v>
      </c>
      <c r="Q795" s="9" t="str">
        <f>IF(F795="Kredit",EOMONTH(B795,0),"")</f>
        <v/>
      </c>
      <c r="R795" s="17" t="str">
        <f>TEXT(B795,"dddd")</f>
        <v>Saturday</v>
      </c>
    </row>
    <row r="796" spans="1:18">
      <c r="A796" s="5" t="s">
        <v>803</v>
      </c>
      <c r="B796" s="8">
        <v>46142</v>
      </c>
      <c r="C796" s="5" t="s">
        <v>977</v>
      </c>
      <c r="D796" s="5" t="s">
        <v>968</v>
      </c>
      <c r="E796" s="5" t="s">
        <v>966</v>
      </c>
      <c r="F796" s="5" t="s">
        <v>965</v>
      </c>
      <c r="G796" s="5">
        <v>9</v>
      </c>
      <c r="H796" s="5" t="s">
        <v>963</v>
      </c>
      <c r="I796" s="13">
        <v>704733042</v>
      </c>
      <c r="J796" s="10" t="s">
        <v>1779</v>
      </c>
      <c r="K796" t="str">
        <f>LEFT(C796,FIND(" ",C796)-1)&amp;"-"&amp;E796&amp;" "&amp;"Filialina çardırılma"</f>
        <v>Elnur-Bakı Filialina çardırılma</v>
      </c>
      <c r="L796">
        <f>VLOOKUP(D796,Anbar!$A$2:$B$5,2,FALSE)</f>
        <v>400</v>
      </c>
      <c r="M796">
        <f>VLOOKUP(D796,Anbar!$A$2:$C$5,3,FALSE)</f>
        <v>650</v>
      </c>
      <c r="N796">
        <f t="shared" si="24"/>
        <v>5850</v>
      </c>
      <c r="O796">
        <f t="shared" si="25"/>
        <v>2250</v>
      </c>
      <c r="P796">
        <f>IF(AND(F796="Nağd",G796&gt;5),M796*0.9,"0%")</f>
        <v>585</v>
      </c>
      <c r="Q796" s="9" t="str">
        <f>IF(F796="Kredit",EOMONTH(B796,0),"")</f>
        <v/>
      </c>
      <c r="R796" s="17" t="str">
        <f>TEXT(B796,"dddd")</f>
        <v>Thursday</v>
      </c>
    </row>
    <row r="797" spans="1:18">
      <c r="A797" s="5" t="s">
        <v>804</v>
      </c>
      <c r="B797" s="8">
        <v>46173</v>
      </c>
      <c r="C797" s="5" t="s">
        <v>974</v>
      </c>
      <c r="D797" s="5" t="s">
        <v>971</v>
      </c>
      <c r="E797" s="5" t="s">
        <v>9</v>
      </c>
      <c r="F797" s="5" t="s">
        <v>4</v>
      </c>
      <c r="G797" s="5">
        <v>2</v>
      </c>
      <c r="H797" s="5" t="s">
        <v>963</v>
      </c>
      <c r="I797" s="13">
        <v>558796609</v>
      </c>
      <c r="J797" s="10" t="s">
        <v>1780</v>
      </c>
      <c r="K797" t="str">
        <f>LEFT(C797,FIND(" ",C797)-1)&amp;"-"&amp;E797&amp;" "&amp;"Filialina çardırılma"</f>
        <v>Ramil-Gence Filialina çardırılma</v>
      </c>
      <c r="L797">
        <f>VLOOKUP(D797,Anbar!$A$2:$B$5,2,FALSE)</f>
        <v>1200</v>
      </c>
      <c r="M797">
        <f>VLOOKUP(D797,Anbar!$A$2:$C$5,3,FALSE)</f>
        <v>1800</v>
      </c>
      <c r="N797">
        <f t="shared" si="24"/>
        <v>3600</v>
      </c>
      <c r="O797">
        <f t="shared" si="25"/>
        <v>1200</v>
      </c>
      <c r="P797" t="str">
        <f>IF(AND(F797="Nağd",G797&gt;5),M797*0.9,"0%")</f>
        <v>0%</v>
      </c>
      <c r="Q797" s="9">
        <f>IF(F797="Kredit",EOMONTH(B797,0),"")</f>
        <v>46173</v>
      </c>
      <c r="R797" s="17" t="str">
        <f>TEXT(B797,"dddd")</f>
        <v>Sunday</v>
      </c>
    </row>
    <row r="798" spans="1:18">
      <c r="A798" s="5" t="s">
        <v>805</v>
      </c>
      <c r="B798" s="8">
        <v>46146</v>
      </c>
      <c r="C798" s="5" t="s">
        <v>967</v>
      </c>
      <c r="D798" s="5" t="s">
        <v>20</v>
      </c>
      <c r="E798" s="5" t="s">
        <v>982</v>
      </c>
      <c r="F798" s="5" t="s">
        <v>4</v>
      </c>
      <c r="G798" s="5">
        <v>9</v>
      </c>
      <c r="H798" s="5" t="s">
        <v>963</v>
      </c>
      <c r="I798" s="13">
        <v>513274472</v>
      </c>
      <c r="J798" s="10" t="s">
        <v>1781</v>
      </c>
      <c r="K798" t="str">
        <f>LEFT(C798,FIND(" ",C798)-1)&amp;"-"&amp;E798&amp;" "&amp;"Filialina çardırılma"</f>
        <v>Aysel-Baki Filialina çardırılma</v>
      </c>
      <c r="L798">
        <f>VLOOKUP(D798,Anbar!$A$2:$B$5,2,FALSE)</f>
        <v>15</v>
      </c>
      <c r="M798">
        <f>VLOOKUP(D798,Anbar!$A$2:$C$5,3,FALSE)</f>
        <v>45</v>
      </c>
      <c r="N798">
        <f t="shared" si="24"/>
        <v>405</v>
      </c>
      <c r="O798">
        <f t="shared" si="25"/>
        <v>270</v>
      </c>
      <c r="P798" t="str">
        <f>IF(AND(F798="Nağd",G798&gt;5),M798*0.9,"0%")</f>
        <v>0%</v>
      </c>
      <c r="Q798" s="9">
        <f>IF(F798="Kredit",EOMONTH(B798,0),"")</f>
        <v>46173</v>
      </c>
      <c r="R798" s="17" t="str">
        <f>TEXT(B798,"dddd")</f>
        <v>Monday</v>
      </c>
    </row>
    <row r="799" spans="1:18">
      <c r="A799" s="5" t="s">
        <v>806</v>
      </c>
      <c r="B799" s="8">
        <v>46115</v>
      </c>
      <c r="C799" s="5" t="s">
        <v>974</v>
      </c>
      <c r="D799" s="5" t="s">
        <v>968</v>
      </c>
      <c r="E799" s="5" t="s">
        <v>980</v>
      </c>
      <c r="F799" s="5" t="s">
        <v>7</v>
      </c>
      <c r="G799" s="5">
        <v>9</v>
      </c>
      <c r="H799" s="5" t="s">
        <v>963</v>
      </c>
      <c r="I799" s="13">
        <v>552520892</v>
      </c>
      <c r="J799" s="10" t="s">
        <v>1782</v>
      </c>
      <c r="K799" t="str">
        <f>LEFT(C799,FIND(" ",C799)-1)&amp;"-"&amp;E799&amp;" "&amp;"Filialina çardırılma"</f>
        <v>Ramil-Sumqayit Filialina çardırılma</v>
      </c>
      <c r="L799">
        <f>VLOOKUP(D799,Anbar!$A$2:$B$5,2,FALSE)</f>
        <v>400</v>
      </c>
      <c r="M799">
        <f>VLOOKUP(D799,Anbar!$A$2:$C$5,3,FALSE)</f>
        <v>650</v>
      </c>
      <c r="N799">
        <f t="shared" si="24"/>
        <v>5850</v>
      </c>
      <c r="O799">
        <f t="shared" si="25"/>
        <v>2250</v>
      </c>
      <c r="P799" t="str">
        <f>IF(AND(F799="Nağd",G799&gt;5),M799*0.9,"0%")</f>
        <v>0%</v>
      </c>
      <c r="Q799" s="9" t="str">
        <f>IF(F799="Kredit",EOMONTH(B799,0),"")</f>
        <v/>
      </c>
      <c r="R799" s="17" t="str">
        <f>TEXT(B799,"dddd")</f>
        <v>Friday</v>
      </c>
    </row>
    <row r="800" spans="1:18">
      <c r="A800" s="5" t="s">
        <v>807</v>
      </c>
      <c r="B800" s="8">
        <v>46072</v>
      </c>
      <c r="C800" s="5" t="s">
        <v>978</v>
      </c>
      <c r="D800" s="5" t="s">
        <v>15</v>
      </c>
      <c r="E800" s="5" t="s">
        <v>982</v>
      </c>
      <c r="F800" s="5" t="s">
        <v>965</v>
      </c>
      <c r="G800" s="5">
        <v>5</v>
      </c>
      <c r="H800" s="5" t="s">
        <v>963</v>
      </c>
      <c r="I800" s="13">
        <v>771593832</v>
      </c>
      <c r="J800" s="10" t="s">
        <v>1783</v>
      </c>
      <c r="K800" t="str">
        <f>LEFT(C800,FIND(" ",C800)-1)&amp;"-"&amp;E800&amp;" "&amp;"Filialina çardırılma"</f>
        <v>Əli-Baki Filialina çardırılma</v>
      </c>
      <c r="L800">
        <f>VLOOKUP(D800,Anbar!$A$2:$B$5,2,FALSE)</f>
        <v>600</v>
      </c>
      <c r="M800">
        <f>VLOOKUP(D800,Anbar!$A$2:$C$5,3,FALSE)</f>
        <v>950</v>
      </c>
      <c r="N800">
        <f t="shared" si="24"/>
        <v>4750</v>
      </c>
      <c r="O800">
        <f t="shared" si="25"/>
        <v>1750</v>
      </c>
      <c r="P800" t="str">
        <f>IF(AND(F800="Nağd",G800&gt;5),M800*0.9,"0%")</f>
        <v>0%</v>
      </c>
      <c r="Q800" s="9" t="str">
        <f>IF(F800="Kredit",EOMONTH(B800,0),"")</f>
        <v/>
      </c>
      <c r="R800" s="17" t="str">
        <f>TEXT(B800,"dddd")</f>
        <v>Thursday</v>
      </c>
    </row>
    <row r="801" spans="1:18">
      <c r="A801" s="5" t="s">
        <v>808</v>
      </c>
      <c r="B801" s="8">
        <v>46102</v>
      </c>
      <c r="C801" s="5" t="s">
        <v>977</v>
      </c>
      <c r="D801" s="5" t="s">
        <v>15</v>
      </c>
      <c r="E801" s="5" t="s">
        <v>980</v>
      </c>
      <c r="F801" s="5" t="s">
        <v>4</v>
      </c>
      <c r="G801" s="5">
        <v>7</v>
      </c>
      <c r="H801" s="5" t="s">
        <v>963</v>
      </c>
      <c r="I801" s="13">
        <v>500131664</v>
      </c>
      <c r="J801" s="10" t="s">
        <v>1784</v>
      </c>
      <c r="K801" t="str">
        <f>LEFT(C801,FIND(" ",C801)-1)&amp;"-"&amp;E801&amp;" "&amp;"Filialina çardırılma"</f>
        <v>Elnur-Sumqayit Filialina çardırılma</v>
      </c>
      <c r="L801">
        <f>VLOOKUP(D801,Anbar!$A$2:$B$5,2,FALSE)</f>
        <v>600</v>
      </c>
      <c r="M801">
        <f>VLOOKUP(D801,Anbar!$A$2:$C$5,3,FALSE)</f>
        <v>950</v>
      </c>
      <c r="N801">
        <f t="shared" si="24"/>
        <v>6650</v>
      </c>
      <c r="O801">
        <f t="shared" si="25"/>
        <v>2450</v>
      </c>
      <c r="P801" t="str">
        <f>IF(AND(F801="Nağd",G801&gt;5),M801*0.9,"0%")</f>
        <v>0%</v>
      </c>
      <c r="Q801" s="9">
        <f>IF(F801="Kredit",EOMONTH(B801,0),"")</f>
        <v>46112</v>
      </c>
      <c r="R801" s="17" t="str">
        <f>TEXT(B801,"dddd")</f>
        <v>Saturday</v>
      </c>
    </row>
    <row r="802" spans="1:18">
      <c r="A802" s="5" t="s">
        <v>809</v>
      </c>
      <c r="B802" s="8">
        <v>46131</v>
      </c>
      <c r="C802" s="5" t="s">
        <v>967</v>
      </c>
      <c r="D802" s="5" t="s">
        <v>968</v>
      </c>
      <c r="E802" s="5" t="s">
        <v>981</v>
      </c>
      <c r="F802" s="5" t="s">
        <v>4</v>
      </c>
      <c r="G802" s="5">
        <v>2</v>
      </c>
      <c r="H802" s="5" t="s">
        <v>963</v>
      </c>
      <c r="I802" s="13">
        <v>509291656</v>
      </c>
      <c r="J802" s="10" t="s">
        <v>1785</v>
      </c>
      <c r="K802" t="str">
        <f>LEFT(C802,FIND(" ",C802)-1)&amp;"-"&amp;E802&amp;" "&amp;"Filialina çardırılma"</f>
        <v>Aysel-Gəncə Filialina çardırılma</v>
      </c>
      <c r="L802">
        <f>VLOOKUP(D802,Anbar!$A$2:$B$5,2,FALSE)</f>
        <v>400</v>
      </c>
      <c r="M802">
        <f>VLOOKUP(D802,Anbar!$A$2:$C$5,3,FALSE)</f>
        <v>650</v>
      </c>
      <c r="N802">
        <f t="shared" si="24"/>
        <v>1300</v>
      </c>
      <c r="O802">
        <f t="shared" si="25"/>
        <v>500</v>
      </c>
      <c r="P802" t="str">
        <f>IF(AND(F802="Nağd",G802&gt;5),M802*0.9,"0%")</f>
        <v>0%</v>
      </c>
      <c r="Q802" s="9">
        <f>IF(F802="Kredit",EOMONTH(B802,0),"")</f>
        <v>46142</v>
      </c>
      <c r="R802" s="17" t="str">
        <f>TEXT(B802,"dddd")</f>
        <v>Sunday</v>
      </c>
    </row>
    <row r="803" spans="1:18">
      <c r="A803" s="5" t="s">
        <v>810</v>
      </c>
      <c r="B803" s="8">
        <v>46092</v>
      </c>
      <c r="C803" s="5" t="s">
        <v>979</v>
      </c>
      <c r="D803" s="5" t="s">
        <v>20</v>
      </c>
      <c r="E803" s="5" t="s">
        <v>981</v>
      </c>
      <c r="F803" s="5" t="s">
        <v>4</v>
      </c>
      <c r="G803" s="5">
        <v>7</v>
      </c>
      <c r="H803" s="5" t="s">
        <v>963</v>
      </c>
      <c r="I803" s="13">
        <v>518429288</v>
      </c>
      <c r="J803" s="10" t="s">
        <v>1786</v>
      </c>
      <c r="K803" t="str">
        <f>LEFT(C803,FIND(" ",C803)-1)&amp;"-"&amp;E803&amp;" "&amp;"Filialina çardırılma"</f>
        <v>Leyla-Gəncə Filialina çardırılma</v>
      </c>
      <c r="L803">
        <f>VLOOKUP(D803,Anbar!$A$2:$B$5,2,FALSE)</f>
        <v>15</v>
      </c>
      <c r="M803">
        <f>VLOOKUP(D803,Anbar!$A$2:$C$5,3,FALSE)</f>
        <v>45</v>
      </c>
      <c r="N803">
        <f t="shared" si="24"/>
        <v>315</v>
      </c>
      <c r="O803">
        <f t="shared" si="25"/>
        <v>210</v>
      </c>
      <c r="P803" t="str">
        <f>IF(AND(F803="Nağd",G803&gt;5),M803*0.9,"0%")</f>
        <v>0%</v>
      </c>
      <c r="Q803" s="9">
        <f>IF(F803="Kredit",EOMONTH(B803,0),"")</f>
        <v>46112</v>
      </c>
      <c r="R803" s="17" t="str">
        <f>TEXT(B803,"dddd")</f>
        <v>Wednesday</v>
      </c>
    </row>
    <row r="804" spans="1:18">
      <c r="A804" s="5" t="s">
        <v>811</v>
      </c>
      <c r="B804" s="8">
        <v>46127</v>
      </c>
      <c r="C804" s="5" t="s">
        <v>979</v>
      </c>
      <c r="D804" s="5" t="s">
        <v>20</v>
      </c>
      <c r="E804" s="5" t="s">
        <v>964</v>
      </c>
      <c r="F804" s="5" t="s">
        <v>965</v>
      </c>
      <c r="G804" s="5">
        <v>7</v>
      </c>
      <c r="H804" s="5" t="s">
        <v>963</v>
      </c>
      <c r="I804" s="13">
        <v>556640957</v>
      </c>
      <c r="J804" s="10" t="s">
        <v>1787</v>
      </c>
      <c r="K804" t="str">
        <f>LEFT(C804,FIND(" ",C804)-1)&amp;"-"&amp;E804&amp;" "&amp;"Filialina çardırılma"</f>
        <v>Leyla-Sumqayıt Filialina çardırılma</v>
      </c>
      <c r="L804">
        <f>VLOOKUP(D804,Anbar!$A$2:$B$5,2,FALSE)</f>
        <v>15</v>
      </c>
      <c r="M804">
        <f>VLOOKUP(D804,Anbar!$A$2:$C$5,3,FALSE)</f>
        <v>45</v>
      </c>
      <c r="N804">
        <f t="shared" si="24"/>
        <v>315</v>
      </c>
      <c r="O804">
        <f t="shared" si="25"/>
        <v>210</v>
      </c>
      <c r="P804">
        <f>IF(AND(F804="Nağd",G804&gt;5),M804*0.9,"0%")</f>
        <v>40.5</v>
      </c>
      <c r="Q804" s="9" t="str">
        <f>IF(F804="Kredit",EOMONTH(B804,0),"")</f>
        <v/>
      </c>
      <c r="R804" s="17" t="str">
        <f>TEXT(B804,"dddd")</f>
        <v>Wednesday</v>
      </c>
    </row>
    <row r="805" spans="1:18">
      <c r="A805" s="5" t="s">
        <v>812</v>
      </c>
      <c r="B805" s="8">
        <v>46107</v>
      </c>
      <c r="C805" s="5" t="s">
        <v>978</v>
      </c>
      <c r="D805" s="5" t="s">
        <v>15</v>
      </c>
      <c r="E805" s="5" t="s">
        <v>966</v>
      </c>
      <c r="F805" s="5" t="s">
        <v>965</v>
      </c>
      <c r="G805" s="5">
        <v>3</v>
      </c>
      <c r="H805" s="5" t="s">
        <v>963</v>
      </c>
      <c r="I805" s="13">
        <v>777912634</v>
      </c>
      <c r="J805" s="10" t="s">
        <v>1788</v>
      </c>
      <c r="K805" t="str">
        <f>LEFT(C805,FIND(" ",C805)-1)&amp;"-"&amp;E805&amp;" "&amp;"Filialina çardırılma"</f>
        <v>Əli-Bakı Filialina çardırılma</v>
      </c>
      <c r="L805">
        <f>VLOOKUP(D805,Anbar!$A$2:$B$5,2,FALSE)</f>
        <v>600</v>
      </c>
      <c r="M805">
        <f>VLOOKUP(D805,Anbar!$A$2:$C$5,3,FALSE)</f>
        <v>950</v>
      </c>
      <c r="N805">
        <f t="shared" si="24"/>
        <v>2850</v>
      </c>
      <c r="O805">
        <f t="shared" si="25"/>
        <v>1050</v>
      </c>
      <c r="P805" t="str">
        <f>IF(AND(F805="Nağd",G805&gt;5),M805*0.9,"0%")</f>
        <v>0%</v>
      </c>
      <c r="Q805" s="9" t="str">
        <f>IF(F805="Kredit",EOMONTH(B805,0),"")</f>
        <v/>
      </c>
      <c r="R805" s="17" t="str">
        <f>TEXT(B805,"dddd")</f>
        <v>Thursday</v>
      </c>
    </row>
    <row r="806" spans="1:18">
      <c r="A806" s="5" t="s">
        <v>813</v>
      </c>
      <c r="B806" s="8">
        <v>46084</v>
      </c>
      <c r="C806" s="5" t="s">
        <v>977</v>
      </c>
      <c r="D806" s="5" t="s">
        <v>20</v>
      </c>
      <c r="E806" s="5" t="s">
        <v>983</v>
      </c>
      <c r="F806" s="5" t="s">
        <v>7</v>
      </c>
      <c r="G806" s="5">
        <v>8</v>
      </c>
      <c r="H806" s="5" t="s">
        <v>963</v>
      </c>
      <c r="I806" s="13">
        <v>514946120</v>
      </c>
      <c r="J806" s="10" t="s">
        <v>1789</v>
      </c>
      <c r="K806" t="str">
        <f>LEFT(C806,FIND(" ",C806)-1)&amp;"-"&amp;E806&amp;" "&amp;"Filialina çardırılma"</f>
        <v>Elnur-Naməlum Filialina çardırılma</v>
      </c>
      <c r="L806">
        <f>VLOOKUP(D806,Anbar!$A$2:$B$5,2,FALSE)</f>
        <v>15</v>
      </c>
      <c r="M806">
        <f>VLOOKUP(D806,Anbar!$A$2:$C$5,3,FALSE)</f>
        <v>45</v>
      </c>
      <c r="N806">
        <f t="shared" si="24"/>
        <v>360</v>
      </c>
      <c r="O806">
        <f t="shared" si="25"/>
        <v>240</v>
      </c>
      <c r="P806" t="str">
        <f>IF(AND(F806="Nağd",G806&gt;5),M806*0.9,"0%")</f>
        <v>0%</v>
      </c>
      <c r="Q806" s="9" t="str">
        <f>IF(F806="Kredit",EOMONTH(B806,0),"")</f>
        <v/>
      </c>
      <c r="R806" s="17" t="str">
        <f>TEXT(B806,"dddd")</f>
        <v>Tuesday</v>
      </c>
    </row>
    <row r="807" spans="1:18">
      <c r="A807" s="5" t="s">
        <v>814</v>
      </c>
      <c r="B807" s="8">
        <v>46156</v>
      </c>
      <c r="C807" s="5" t="s">
        <v>979</v>
      </c>
      <c r="D807" s="5" t="s">
        <v>20</v>
      </c>
      <c r="E807" s="5" t="s">
        <v>964</v>
      </c>
      <c r="F807" s="5" t="s">
        <v>965</v>
      </c>
      <c r="G807" s="5">
        <v>5</v>
      </c>
      <c r="H807" s="5" t="s">
        <v>963</v>
      </c>
      <c r="I807" s="13">
        <v>516203848</v>
      </c>
      <c r="J807" s="10" t="s">
        <v>1790</v>
      </c>
      <c r="K807" t="str">
        <f>LEFT(C807,FIND(" ",C807)-1)&amp;"-"&amp;E807&amp;" "&amp;"Filialina çardırılma"</f>
        <v>Leyla-Sumqayıt Filialina çardırılma</v>
      </c>
      <c r="L807">
        <f>VLOOKUP(D807,Anbar!$A$2:$B$5,2,FALSE)</f>
        <v>15</v>
      </c>
      <c r="M807">
        <f>VLOOKUP(D807,Anbar!$A$2:$C$5,3,FALSE)</f>
        <v>45</v>
      </c>
      <c r="N807">
        <f t="shared" si="24"/>
        <v>225</v>
      </c>
      <c r="O807">
        <f t="shared" si="25"/>
        <v>150</v>
      </c>
      <c r="P807" t="str">
        <f>IF(AND(F807="Nağd",G807&gt;5),M807*0.9,"0%")</f>
        <v>0%</v>
      </c>
      <c r="Q807" s="9" t="str">
        <f>IF(F807="Kredit",EOMONTH(B807,0),"")</f>
        <v/>
      </c>
      <c r="R807" s="17" t="str">
        <f>TEXT(B807,"dddd")</f>
        <v>Thursday</v>
      </c>
    </row>
    <row r="808" spans="1:18">
      <c r="A808" s="5" t="s">
        <v>815</v>
      </c>
      <c r="B808" s="8">
        <v>46073</v>
      </c>
      <c r="C808" s="5" t="s">
        <v>974</v>
      </c>
      <c r="D808" s="5" t="s">
        <v>15</v>
      </c>
      <c r="E808" s="5" t="s">
        <v>9</v>
      </c>
      <c r="F808" s="5" t="s">
        <v>4</v>
      </c>
      <c r="G808" s="5">
        <v>4</v>
      </c>
      <c r="H808" s="5" t="s">
        <v>963</v>
      </c>
      <c r="I808" s="13">
        <v>700195719</v>
      </c>
      <c r="J808" s="10" t="s">
        <v>1791</v>
      </c>
      <c r="K808" t="str">
        <f>LEFT(C808,FIND(" ",C808)-1)&amp;"-"&amp;E808&amp;" "&amp;"Filialina çardırılma"</f>
        <v>Ramil-Gence Filialina çardırılma</v>
      </c>
      <c r="L808">
        <f>VLOOKUP(D808,Anbar!$A$2:$B$5,2,FALSE)</f>
        <v>600</v>
      </c>
      <c r="M808">
        <f>VLOOKUP(D808,Anbar!$A$2:$C$5,3,FALSE)</f>
        <v>950</v>
      </c>
      <c r="N808">
        <f t="shared" si="24"/>
        <v>3800</v>
      </c>
      <c r="O808">
        <f t="shared" si="25"/>
        <v>1400</v>
      </c>
      <c r="P808" t="str">
        <f>IF(AND(F808="Nağd",G808&gt;5),M808*0.9,"0%")</f>
        <v>0%</v>
      </c>
      <c r="Q808" s="9">
        <f>IF(F808="Kredit",EOMONTH(B808,0),"")</f>
        <v>46081</v>
      </c>
      <c r="R808" s="17" t="str">
        <f>TEXT(B808,"dddd")</f>
        <v>Friday</v>
      </c>
    </row>
    <row r="809" spans="1:18">
      <c r="A809" s="5" t="s">
        <v>816</v>
      </c>
      <c r="B809" s="8">
        <v>46127</v>
      </c>
      <c r="C809" s="5" t="s">
        <v>6</v>
      </c>
      <c r="D809" s="5" t="s">
        <v>20</v>
      </c>
      <c r="E809" s="5" t="s">
        <v>982</v>
      </c>
      <c r="F809" s="5" t="s">
        <v>965</v>
      </c>
      <c r="G809" s="5">
        <v>2</v>
      </c>
      <c r="H809" s="5" t="s">
        <v>963</v>
      </c>
      <c r="I809" s="13">
        <v>777503055</v>
      </c>
      <c r="J809" s="10" t="s">
        <v>1792</v>
      </c>
      <c r="K809" t="str">
        <f>LEFT(C809,FIND(" ",C809)-1)&amp;"-"&amp;E809&amp;" "&amp;"Filialina çardırılma"</f>
        <v>Zaur-Baki Filialina çardırılma</v>
      </c>
      <c r="L809">
        <f>VLOOKUP(D809,Anbar!$A$2:$B$5,2,FALSE)</f>
        <v>15</v>
      </c>
      <c r="M809">
        <f>VLOOKUP(D809,Anbar!$A$2:$C$5,3,FALSE)</f>
        <v>45</v>
      </c>
      <c r="N809">
        <f t="shared" si="24"/>
        <v>90</v>
      </c>
      <c r="O809">
        <f t="shared" si="25"/>
        <v>60</v>
      </c>
      <c r="P809" t="str">
        <f>IF(AND(F809="Nağd",G809&gt;5),M809*0.9,"0%")</f>
        <v>0%</v>
      </c>
      <c r="Q809" s="9" t="str">
        <f>IF(F809="Kredit",EOMONTH(B809,0),"")</f>
        <v/>
      </c>
      <c r="R809" s="17" t="str">
        <f>TEXT(B809,"dddd")</f>
        <v>Wednesday</v>
      </c>
    </row>
    <row r="810" spans="1:18">
      <c r="A810" s="5" t="s">
        <v>817</v>
      </c>
      <c r="B810" s="8">
        <v>46162</v>
      </c>
      <c r="C810" s="5" t="s">
        <v>6</v>
      </c>
      <c r="D810" s="5" t="s">
        <v>15</v>
      </c>
      <c r="E810" s="5" t="s">
        <v>966</v>
      </c>
      <c r="F810" s="5" t="s">
        <v>4</v>
      </c>
      <c r="G810" s="5">
        <v>3</v>
      </c>
      <c r="H810" s="5" t="s">
        <v>963</v>
      </c>
      <c r="I810" s="13">
        <v>556497262</v>
      </c>
      <c r="J810" s="10" t="s">
        <v>1793</v>
      </c>
      <c r="K810" t="str">
        <f>LEFT(C810,FIND(" ",C810)-1)&amp;"-"&amp;E810&amp;" "&amp;"Filialina çardırılma"</f>
        <v>Zaur-Bakı Filialina çardırılma</v>
      </c>
      <c r="L810">
        <f>VLOOKUP(D810,Anbar!$A$2:$B$5,2,FALSE)</f>
        <v>600</v>
      </c>
      <c r="M810">
        <f>VLOOKUP(D810,Anbar!$A$2:$C$5,3,FALSE)</f>
        <v>950</v>
      </c>
      <c r="N810">
        <f t="shared" si="24"/>
        <v>2850</v>
      </c>
      <c r="O810">
        <f t="shared" si="25"/>
        <v>1050</v>
      </c>
      <c r="P810" t="str">
        <f>IF(AND(F810="Nağd",G810&gt;5),M810*0.9,"0%")</f>
        <v>0%</v>
      </c>
      <c r="Q810" s="9">
        <f>IF(F810="Kredit",EOMONTH(B810,0),"")</f>
        <v>46173</v>
      </c>
      <c r="R810" s="17" t="str">
        <f>TEXT(B810,"dddd")</f>
        <v>Wednesday</v>
      </c>
    </row>
    <row r="811" spans="1:18">
      <c r="A811" s="5" t="s">
        <v>818</v>
      </c>
      <c r="B811" s="8">
        <v>46088</v>
      </c>
      <c r="C811" s="5" t="s">
        <v>978</v>
      </c>
      <c r="D811" s="5" t="s">
        <v>20</v>
      </c>
      <c r="E811" s="5" t="s">
        <v>966</v>
      </c>
      <c r="F811" s="5" t="s">
        <v>7</v>
      </c>
      <c r="G811" s="5">
        <v>5</v>
      </c>
      <c r="H811" s="5" t="s">
        <v>963</v>
      </c>
      <c r="I811" s="13">
        <v>514639992</v>
      </c>
      <c r="J811" s="10" t="s">
        <v>1794</v>
      </c>
      <c r="K811" t="str">
        <f>LEFT(C811,FIND(" ",C811)-1)&amp;"-"&amp;E811&amp;" "&amp;"Filialina çardırılma"</f>
        <v>Əli-Bakı Filialina çardırılma</v>
      </c>
      <c r="L811">
        <f>VLOOKUP(D811,Anbar!$A$2:$B$5,2,FALSE)</f>
        <v>15</v>
      </c>
      <c r="M811">
        <f>VLOOKUP(D811,Anbar!$A$2:$C$5,3,FALSE)</f>
        <v>45</v>
      </c>
      <c r="N811">
        <f t="shared" si="24"/>
        <v>225</v>
      </c>
      <c r="O811">
        <f t="shared" si="25"/>
        <v>150</v>
      </c>
      <c r="P811" t="str">
        <f>IF(AND(F811="Nağd",G811&gt;5),M811*0.9,"0%")</f>
        <v>0%</v>
      </c>
      <c r="Q811" s="9" t="str">
        <f>IF(F811="Kredit",EOMONTH(B811,0),"")</f>
        <v/>
      </c>
      <c r="R811" s="17" t="str">
        <f>TEXT(B811,"dddd")</f>
        <v>Saturday</v>
      </c>
    </row>
    <row r="812" spans="1:18">
      <c r="A812" s="5" t="s">
        <v>819</v>
      </c>
      <c r="B812" s="8">
        <v>46177</v>
      </c>
      <c r="C812" s="5" t="s">
        <v>978</v>
      </c>
      <c r="D812" s="5" t="s">
        <v>20</v>
      </c>
      <c r="E812" s="5" t="s">
        <v>980</v>
      </c>
      <c r="F812" s="5" t="s">
        <v>4</v>
      </c>
      <c r="G812" s="5">
        <v>4</v>
      </c>
      <c r="H812" s="5" t="s">
        <v>963</v>
      </c>
      <c r="I812" s="13">
        <v>507335239</v>
      </c>
      <c r="J812" s="10" t="s">
        <v>1795</v>
      </c>
      <c r="K812" t="str">
        <f>LEFT(C812,FIND(" ",C812)-1)&amp;"-"&amp;E812&amp;" "&amp;"Filialina çardırılma"</f>
        <v>Əli-Sumqayit Filialina çardırılma</v>
      </c>
      <c r="L812">
        <f>VLOOKUP(D812,Anbar!$A$2:$B$5,2,FALSE)</f>
        <v>15</v>
      </c>
      <c r="M812">
        <f>VLOOKUP(D812,Anbar!$A$2:$C$5,3,FALSE)</f>
        <v>45</v>
      </c>
      <c r="N812">
        <f t="shared" si="24"/>
        <v>180</v>
      </c>
      <c r="O812">
        <f t="shared" si="25"/>
        <v>120</v>
      </c>
      <c r="P812" t="str">
        <f>IF(AND(F812="Nağd",G812&gt;5),M812*0.9,"0%")</f>
        <v>0%</v>
      </c>
      <c r="Q812" s="9">
        <f>IF(F812="Kredit",EOMONTH(B812,0),"")</f>
        <v>46203</v>
      </c>
      <c r="R812" s="17" t="str">
        <f>TEXT(B812,"dddd")</f>
        <v>Thursday</v>
      </c>
    </row>
    <row r="813" spans="1:18">
      <c r="A813" s="5" t="s">
        <v>820</v>
      </c>
      <c r="B813" s="8">
        <v>46101</v>
      </c>
      <c r="C813" s="5" t="s">
        <v>976</v>
      </c>
      <c r="D813" s="5" t="s">
        <v>20</v>
      </c>
      <c r="E813" s="5" t="s">
        <v>966</v>
      </c>
      <c r="F813" s="5" t="s">
        <v>4</v>
      </c>
      <c r="G813" s="5">
        <v>7</v>
      </c>
      <c r="H813" s="5" t="s">
        <v>963</v>
      </c>
      <c r="I813" s="13">
        <v>505097378</v>
      </c>
      <c r="J813" s="10" t="s">
        <v>1796</v>
      </c>
      <c r="K813" t="str">
        <f>LEFT(C813,FIND(" ",C813)-1)&amp;"-"&amp;E813&amp;" "&amp;"Filialina çardırılma"</f>
        <v>Nərgin-Bakı Filialina çardırılma</v>
      </c>
      <c r="L813">
        <f>VLOOKUP(D813,Anbar!$A$2:$B$5,2,FALSE)</f>
        <v>15</v>
      </c>
      <c r="M813">
        <f>VLOOKUP(D813,Anbar!$A$2:$C$5,3,FALSE)</f>
        <v>45</v>
      </c>
      <c r="N813">
        <f t="shared" si="24"/>
        <v>315</v>
      </c>
      <c r="O813">
        <f t="shared" si="25"/>
        <v>210</v>
      </c>
      <c r="P813" t="str">
        <f>IF(AND(F813="Nağd",G813&gt;5),M813*0.9,"0%")</f>
        <v>0%</v>
      </c>
      <c r="Q813" s="9">
        <f>IF(F813="Kredit",EOMONTH(B813,0),"")</f>
        <v>46112</v>
      </c>
      <c r="R813" s="17" t="str">
        <f>TEXT(B813,"dddd")</f>
        <v>Friday</v>
      </c>
    </row>
    <row r="814" spans="1:18">
      <c r="A814" s="5" t="s">
        <v>821</v>
      </c>
      <c r="B814" s="8">
        <v>46165</v>
      </c>
      <c r="C814" s="5" t="s">
        <v>975</v>
      </c>
      <c r="D814" s="5" t="s">
        <v>20</v>
      </c>
      <c r="E814" s="5" t="s">
        <v>982</v>
      </c>
      <c r="F814" s="5" t="s">
        <v>965</v>
      </c>
      <c r="G814" s="5">
        <v>1</v>
      </c>
      <c r="H814" s="5" t="s">
        <v>963</v>
      </c>
      <c r="I814" s="13">
        <v>506380408</v>
      </c>
      <c r="J814" s="10" t="s">
        <v>1797</v>
      </c>
      <c r="K814" t="str">
        <f>LEFT(C814,FIND(" ",C814)-1)&amp;"-"&amp;E814&amp;" "&amp;"Filialina çardırılma"</f>
        <v>Murad-Baki Filialina çardırılma</v>
      </c>
      <c r="L814">
        <f>VLOOKUP(D814,Anbar!$A$2:$B$5,2,FALSE)</f>
        <v>15</v>
      </c>
      <c r="M814">
        <f>VLOOKUP(D814,Anbar!$A$2:$C$5,3,FALSE)</f>
        <v>45</v>
      </c>
      <c r="N814">
        <f t="shared" si="24"/>
        <v>45</v>
      </c>
      <c r="O814">
        <f t="shared" si="25"/>
        <v>30</v>
      </c>
      <c r="P814" t="str">
        <f>IF(AND(F814="Nağd",G814&gt;5),M814*0.9,"0%")</f>
        <v>0%</v>
      </c>
      <c r="Q814" s="9" t="str">
        <f>IF(F814="Kredit",EOMONTH(B814,0),"")</f>
        <v/>
      </c>
      <c r="R814" s="17" t="str">
        <f>TEXT(B814,"dddd")</f>
        <v>Saturday</v>
      </c>
    </row>
    <row r="815" spans="1:18">
      <c r="A815" s="5" t="s">
        <v>822</v>
      </c>
      <c r="B815" s="8">
        <v>46152</v>
      </c>
      <c r="C815" s="5" t="s">
        <v>979</v>
      </c>
      <c r="D815" s="5" t="s">
        <v>15</v>
      </c>
      <c r="E815" s="5" t="s">
        <v>964</v>
      </c>
      <c r="F815" s="5" t="s">
        <v>4</v>
      </c>
      <c r="G815" s="5">
        <v>3</v>
      </c>
      <c r="H815" s="5" t="s">
        <v>963</v>
      </c>
      <c r="I815" s="13">
        <v>553522652</v>
      </c>
      <c r="J815" s="10" t="s">
        <v>1798</v>
      </c>
      <c r="K815" t="str">
        <f>LEFT(C815,FIND(" ",C815)-1)&amp;"-"&amp;E815&amp;" "&amp;"Filialina çardırılma"</f>
        <v>Leyla-Sumqayıt Filialina çardırılma</v>
      </c>
      <c r="L815">
        <f>VLOOKUP(D815,Anbar!$A$2:$B$5,2,FALSE)</f>
        <v>600</v>
      </c>
      <c r="M815">
        <f>VLOOKUP(D815,Anbar!$A$2:$C$5,3,FALSE)</f>
        <v>950</v>
      </c>
      <c r="N815">
        <f t="shared" si="24"/>
        <v>2850</v>
      </c>
      <c r="O815">
        <f t="shared" si="25"/>
        <v>1050</v>
      </c>
      <c r="P815" t="str">
        <f>IF(AND(F815="Nağd",G815&gt;5),M815*0.9,"0%")</f>
        <v>0%</v>
      </c>
      <c r="Q815" s="9">
        <f>IF(F815="Kredit",EOMONTH(B815,0),"")</f>
        <v>46173</v>
      </c>
      <c r="R815" s="17" t="str">
        <f>TEXT(B815,"dddd")</f>
        <v>Sunday</v>
      </c>
    </row>
    <row r="816" spans="1:18">
      <c r="A816" s="5" t="s">
        <v>823</v>
      </c>
      <c r="B816" s="8">
        <v>46086</v>
      </c>
      <c r="C816" s="5" t="s">
        <v>979</v>
      </c>
      <c r="D816" s="5" t="s">
        <v>968</v>
      </c>
      <c r="E816" s="5" t="s">
        <v>9</v>
      </c>
      <c r="F816" s="5" t="s">
        <v>7</v>
      </c>
      <c r="G816" s="5">
        <v>1</v>
      </c>
      <c r="H816" s="5" t="s">
        <v>963</v>
      </c>
      <c r="I816" s="13">
        <v>551921668</v>
      </c>
      <c r="J816" s="10" t="s">
        <v>1799</v>
      </c>
      <c r="K816" t="str">
        <f>LEFT(C816,FIND(" ",C816)-1)&amp;"-"&amp;E816&amp;" "&amp;"Filialina çardırılma"</f>
        <v>Leyla-Gence Filialina çardırılma</v>
      </c>
      <c r="L816">
        <f>VLOOKUP(D816,Anbar!$A$2:$B$5,2,FALSE)</f>
        <v>400</v>
      </c>
      <c r="M816">
        <f>VLOOKUP(D816,Anbar!$A$2:$C$5,3,FALSE)</f>
        <v>650</v>
      </c>
      <c r="N816">
        <f t="shared" si="24"/>
        <v>650</v>
      </c>
      <c r="O816">
        <f t="shared" si="25"/>
        <v>250</v>
      </c>
      <c r="P816" t="str">
        <f>IF(AND(F816="Nağd",G816&gt;5),M816*0.9,"0%")</f>
        <v>0%</v>
      </c>
      <c r="Q816" s="9" t="str">
        <f>IF(F816="Kredit",EOMONTH(B816,0),"")</f>
        <v/>
      </c>
      <c r="R816" s="17" t="str">
        <f>TEXT(B816,"dddd")</f>
        <v>Thursday</v>
      </c>
    </row>
    <row r="817" spans="1:18">
      <c r="A817" s="5" t="s">
        <v>824</v>
      </c>
      <c r="B817" s="8">
        <v>46039</v>
      </c>
      <c r="C817" s="5" t="s">
        <v>977</v>
      </c>
      <c r="D817" s="5" t="s">
        <v>20</v>
      </c>
      <c r="E817" s="5" t="s">
        <v>964</v>
      </c>
      <c r="F817" s="5" t="s">
        <v>4</v>
      </c>
      <c r="G817" s="5">
        <v>4</v>
      </c>
      <c r="H817" s="5" t="s">
        <v>963</v>
      </c>
      <c r="I817" s="13">
        <v>776994195</v>
      </c>
      <c r="J817" s="10" t="s">
        <v>1800</v>
      </c>
      <c r="K817" t="str">
        <f>LEFT(C817,FIND(" ",C817)-1)&amp;"-"&amp;E817&amp;" "&amp;"Filialina çardırılma"</f>
        <v>Elnur-Sumqayıt Filialina çardırılma</v>
      </c>
      <c r="L817">
        <f>VLOOKUP(D817,Anbar!$A$2:$B$5,2,FALSE)</f>
        <v>15</v>
      </c>
      <c r="M817">
        <f>VLOOKUP(D817,Anbar!$A$2:$C$5,3,FALSE)</f>
        <v>45</v>
      </c>
      <c r="N817">
        <f t="shared" si="24"/>
        <v>180</v>
      </c>
      <c r="O817">
        <f t="shared" si="25"/>
        <v>120</v>
      </c>
      <c r="P817" t="str">
        <f>IF(AND(F817="Nağd",G817&gt;5),M817*0.9,"0%")</f>
        <v>0%</v>
      </c>
      <c r="Q817" s="9">
        <f>IF(F817="Kredit",EOMONTH(B817,0),"")</f>
        <v>46053</v>
      </c>
      <c r="R817" s="17" t="str">
        <f>TEXT(B817,"dddd")</f>
        <v>Saturday</v>
      </c>
    </row>
    <row r="818" spans="1:18">
      <c r="A818" s="5" t="s">
        <v>825</v>
      </c>
      <c r="B818" s="8">
        <v>46055</v>
      </c>
      <c r="C818" s="5" t="s">
        <v>975</v>
      </c>
      <c r="D818" s="5" t="s">
        <v>15</v>
      </c>
      <c r="E818" s="5" t="s">
        <v>981</v>
      </c>
      <c r="F818" s="5" t="s">
        <v>7</v>
      </c>
      <c r="G818" s="5">
        <v>1</v>
      </c>
      <c r="H818" s="5" t="s">
        <v>963</v>
      </c>
      <c r="I818" s="13">
        <v>516745380</v>
      </c>
      <c r="J818" s="10" t="s">
        <v>1801</v>
      </c>
      <c r="K818" t="str">
        <f>LEFT(C818,FIND(" ",C818)-1)&amp;"-"&amp;E818&amp;" "&amp;"Filialina çardırılma"</f>
        <v>Murad-Gəncə Filialina çardırılma</v>
      </c>
      <c r="L818">
        <f>VLOOKUP(D818,Anbar!$A$2:$B$5,2,FALSE)</f>
        <v>600</v>
      </c>
      <c r="M818">
        <f>VLOOKUP(D818,Anbar!$A$2:$C$5,3,FALSE)</f>
        <v>950</v>
      </c>
      <c r="N818">
        <f t="shared" si="24"/>
        <v>950</v>
      </c>
      <c r="O818">
        <f t="shared" si="25"/>
        <v>350</v>
      </c>
      <c r="P818" t="str">
        <f>IF(AND(F818="Nağd",G818&gt;5),M818*0.9,"0%")</f>
        <v>0%</v>
      </c>
      <c r="Q818" s="9" t="str">
        <f>IF(F818="Kredit",EOMONTH(B818,0),"")</f>
        <v/>
      </c>
      <c r="R818" s="17" t="str">
        <f>TEXT(B818,"dddd")</f>
        <v>Monday</v>
      </c>
    </row>
    <row r="819" spans="1:18">
      <c r="A819" s="5" t="s">
        <v>826</v>
      </c>
      <c r="B819" s="8">
        <v>46123</v>
      </c>
      <c r="C819" s="5" t="s">
        <v>979</v>
      </c>
      <c r="D819" s="5" t="s">
        <v>15</v>
      </c>
      <c r="E819" s="5" t="s">
        <v>964</v>
      </c>
      <c r="F819" s="5" t="s">
        <v>4</v>
      </c>
      <c r="G819" s="5">
        <v>1</v>
      </c>
      <c r="H819" s="5" t="s">
        <v>963</v>
      </c>
      <c r="I819" s="13">
        <v>773438477</v>
      </c>
      <c r="J819" s="10" t="s">
        <v>1802</v>
      </c>
      <c r="K819" t="str">
        <f>LEFT(C819,FIND(" ",C819)-1)&amp;"-"&amp;E819&amp;" "&amp;"Filialina çardırılma"</f>
        <v>Leyla-Sumqayıt Filialina çardırılma</v>
      </c>
      <c r="L819">
        <f>VLOOKUP(D819,Anbar!$A$2:$B$5,2,FALSE)</f>
        <v>600</v>
      </c>
      <c r="M819">
        <f>VLOOKUP(D819,Anbar!$A$2:$C$5,3,FALSE)</f>
        <v>950</v>
      </c>
      <c r="N819">
        <f t="shared" si="24"/>
        <v>950</v>
      </c>
      <c r="O819">
        <f t="shared" si="25"/>
        <v>350</v>
      </c>
      <c r="P819" t="str">
        <f>IF(AND(F819="Nağd",G819&gt;5),M819*0.9,"0%")</f>
        <v>0%</v>
      </c>
      <c r="Q819" s="9">
        <f>IF(F819="Kredit",EOMONTH(B819,0),"")</f>
        <v>46142</v>
      </c>
      <c r="R819" s="17" t="str">
        <f>TEXT(B819,"dddd")</f>
        <v>Saturday</v>
      </c>
    </row>
    <row r="820" spans="1:18">
      <c r="A820" s="5" t="s">
        <v>827</v>
      </c>
      <c r="B820" s="8">
        <v>46102</v>
      </c>
      <c r="C820" s="5" t="s">
        <v>976</v>
      </c>
      <c r="D820" s="5" t="s">
        <v>15</v>
      </c>
      <c r="E820" s="5" t="s">
        <v>982</v>
      </c>
      <c r="F820" s="5" t="s">
        <v>965</v>
      </c>
      <c r="G820" s="5">
        <v>1</v>
      </c>
      <c r="H820" s="5" t="s">
        <v>963</v>
      </c>
      <c r="I820" s="13">
        <v>517495517</v>
      </c>
      <c r="J820" s="10" t="s">
        <v>1803</v>
      </c>
      <c r="K820" t="str">
        <f>LEFT(C820,FIND(" ",C820)-1)&amp;"-"&amp;E820&amp;" "&amp;"Filialina çardırılma"</f>
        <v>Nərgin-Baki Filialina çardırılma</v>
      </c>
      <c r="L820">
        <f>VLOOKUP(D820,Anbar!$A$2:$B$5,2,FALSE)</f>
        <v>600</v>
      </c>
      <c r="M820">
        <f>VLOOKUP(D820,Anbar!$A$2:$C$5,3,FALSE)</f>
        <v>950</v>
      </c>
      <c r="N820">
        <f t="shared" si="24"/>
        <v>950</v>
      </c>
      <c r="O820">
        <f t="shared" si="25"/>
        <v>350</v>
      </c>
      <c r="P820" t="str">
        <f>IF(AND(F820="Nağd",G820&gt;5),M820*0.9,"0%")</f>
        <v>0%</v>
      </c>
      <c r="Q820" s="9" t="str">
        <f>IF(F820="Kredit",EOMONTH(B820,0),"")</f>
        <v/>
      </c>
      <c r="R820" s="17" t="str">
        <f>TEXT(B820,"dddd")</f>
        <v>Saturday</v>
      </c>
    </row>
    <row r="821" spans="1:18">
      <c r="A821" s="5" t="s">
        <v>828</v>
      </c>
      <c r="B821" s="8">
        <v>46097</v>
      </c>
      <c r="C821" s="5" t="s">
        <v>977</v>
      </c>
      <c r="D821" s="5" t="s">
        <v>15</v>
      </c>
      <c r="E821" s="5" t="s">
        <v>9</v>
      </c>
      <c r="F821" s="5" t="s">
        <v>4</v>
      </c>
      <c r="G821" s="5">
        <v>1</v>
      </c>
      <c r="H821" s="5" t="s">
        <v>963</v>
      </c>
      <c r="I821" s="13">
        <v>555702343</v>
      </c>
      <c r="J821" s="10" t="s">
        <v>1804</v>
      </c>
      <c r="K821" t="str">
        <f>LEFT(C821,FIND(" ",C821)-1)&amp;"-"&amp;E821&amp;" "&amp;"Filialina çardırılma"</f>
        <v>Elnur-Gence Filialina çardırılma</v>
      </c>
      <c r="L821">
        <f>VLOOKUP(D821,Anbar!$A$2:$B$5,2,FALSE)</f>
        <v>600</v>
      </c>
      <c r="M821">
        <f>VLOOKUP(D821,Anbar!$A$2:$C$5,3,FALSE)</f>
        <v>950</v>
      </c>
      <c r="N821">
        <f t="shared" si="24"/>
        <v>950</v>
      </c>
      <c r="O821">
        <f t="shared" si="25"/>
        <v>350</v>
      </c>
      <c r="P821" t="str">
        <f>IF(AND(F821="Nağd",G821&gt;5),M821*0.9,"0%")</f>
        <v>0%</v>
      </c>
      <c r="Q821" s="9">
        <f>IF(F821="Kredit",EOMONTH(B821,0),"")</f>
        <v>46112</v>
      </c>
      <c r="R821" s="17" t="str">
        <f>TEXT(B821,"dddd")</f>
        <v>Monday</v>
      </c>
    </row>
    <row r="822" spans="1:18">
      <c r="A822" s="5" t="s">
        <v>829</v>
      </c>
      <c r="B822" s="8">
        <v>46041</v>
      </c>
      <c r="C822" s="5" t="s">
        <v>6</v>
      </c>
      <c r="D822" s="5" t="s">
        <v>971</v>
      </c>
      <c r="E822" s="5" t="s">
        <v>982</v>
      </c>
      <c r="F822" s="5" t="s">
        <v>4</v>
      </c>
      <c r="G822" s="5">
        <v>9</v>
      </c>
      <c r="H822" s="5" t="s">
        <v>963</v>
      </c>
      <c r="I822" s="13">
        <v>505201699</v>
      </c>
      <c r="J822" s="10" t="s">
        <v>1805</v>
      </c>
      <c r="K822" t="str">
        <f>LEFT(C822,FIND(" ",C822)-1)&amp;"-"&amp;E822&amp;" "&amp;"Filialina çardırılma"</f>
        <v>Zaur-Baki Filialina çardırılma</v>
      </c>
      <c r="L822">
        <f>VLOOKUP(D822,Anbar!$A$2:$B$5,2,FALSE)</f>
        <v>1200</v>
      </c>
      <c r="M822">
        <f>VLOOKUP(D822,Anbar!$A$2:$C$5,3,FALSE)</f>
        <v>1800</v>
      </c>
      <c r="N822">
        <f t="shared" si="24"/>
        <v>16200</v>
      </c>
      <c r="O822">
        <f t="shared" si="25"/>
        <v>5400</v>
      </c>
      <c r="P822" t="str">
        <f>IF(AND(F822="Nağd",G822&gt;5),M822*0.9,"0%")</f>
        <v>0%</v>
      </c>
      <c r="Q822" s="9">
        <f>IF(F822="Kredit",EOMONTH(B822,0),"")</f>
        <v>46053</v>
      </c>
      <c r="R822" s="17" t="str">
        <f>TEXT(B822,"dddd")</f>
        <v>Monday</v>
      </c>
    </row>
    <row r="823" spans="1:18">
      <c r="A823" s="5" t="s">
        <v>830</v>
      </c>
      <c r="B823" s="8">
        <v>46110</v>
      </c>
      <c r="C823" s="5" t="s">
        <v>6</v>
      </c>
      <c r="D823" s="5" t="s">
        <v>15</v>
      </c>
      <c r="E823" s="5" t="s">
        <v>981</v>
      </c>
      <c r="F823" s="5" t="s">
        <v>4</v>
      </c>
      <c r="G823" s="5">
        <v>4</v>
      </c>
      <c r="H823" s="5" t="s">
        <v>963</v>
      </c>
      <c r="I823" s="13">
        <v>509223283</v>
      </c>
      <c r="J823" s="10" t="s">
        <v>1806</v>
      </c>
      <c r="K823" t="str">
        <f>LEFT(C823,FIND(" ",C823)-1)&amp;"-"&amp;E823&amp;" "&amp;"Filialina çardırılma"</f>
        <v>Zaur-Gəncə Filialina çardırılma</v>
      </c>
      <c r="L823">
        <f>VLOOKUP(D823,Anbar!$A$2:$B$5,2,FALSE)</f>
        <v>600</v>
      </c>
      <c r="M823">
        <f>VLOOKUP(D823,Anbar!$A$2:$C$5,3,FALSE)</f>
        <v>950</v>
      </c>
      <c r="N823">
        <f t="shared" si="24"/>
        <v>3800</v>
      </c>
      <c r="O823">
        <f t="shared" si="25"/>
        <v>1400</v>
      </c>
      <c r="P823" t="str">
        <f>IF(AND(F823="Nağd",G823&gt;5),M823*0.9,"0%")</f>
        <v>0%</v>
      </c>
      <c r="Q823" s="9">
        <f>IF(F823="Kredit",EOMONTH(B823,0),"")</f>
        <v>46112</v>
      </c>
      <c r="R823" s="17" t="str">
        <f>TEXT(B823,"dddd")</f>
        <v>Sunday</v>
      </c>
    </row>
    <row r="824" spans="1:18">
      <c r="A824" s="5" t="s">
        <v>831</v>
      </c>
      <c r="B824" s="8">
        <v>46056</v>
      </c>
      <c r="C824" s="5" t="s">
        <v>979</v>
      </c>
      <c r="D824" s="5" t="s">
        <v>971</v>
      </c>
      <c r="E824" s="5" t="s">
        <v>9</v>
      </c>
      <c r="F824" s="5" t="s">
        <v>4</v>
      </c>
      <c r="G824" s="5">
        <v>5</v>
      </c>
      <c r="H824" s="5" t="s">
        <v>963</v>
      </c>
      <c r="I824" s="13">
        <v>550236735</v>
      </c>
      <c r="J824" s="10" t="s">
        <v>1807</v>
      </c>
      <c r="K824" t="str">
        <f>LEFT(C824,FIND(" ",C824)-1)&amp;"-"&amp;E824&amp;" "&amp;"Filialina çardırılma"</f>
        <v>Leyla-Gence Filialina çardırılma</v>
      </c>
      <c r="L824">
        <f>VLOOKUP(D824,Anbar!$A$2:$B$5,2,FALSE)</f>
        <v>1200</v>
      </c>
      <c r="M824">
        <f>VLOOKUP(D824,Anbar!$A$2:$C$5,3,FALSE)</f>
        <v>1800</v>
      </c>
      <c r="N824">
        <f t="shared" si="24"/>
        <v>9000</v>
      </c>
      <c r="O824">
        <f t="shared" si="25"/>
        <v>3000</v>
      </c>
      <c r="P824" t="str">
        <f>IF(AND(F824="Nağd",G824&gt;5),M824*0.9,"0%")</f>
        <v>0%</v>
      </c>
      <c r="Q824" s="9">
        <f>IF(F824="Kredit",EOMONTH(B824,0),"")</f>
        <v>46081</v>
      </c>
      <c r="R824" s="17" t="str">
        <f>TEXT(B824,"dddd")</f>
        <v>Tuesday</v>
      </c>
    </row>
    <row r="825" spans="1:18">
      <c r="A825" s="5" t="s">
        <v>832</v>
      </c>
      <c r="B825" s="8">
        <v>46057</v>
      </c>
      <c r="C825" s="5" t="s">
        <v>979</v>
      </c>
      <c r="D825" s="5" t="s">
        <v>15</v>
      </c>
      <c r="E825" s="5" t="s">
        <v>982</v>
      </c>
      <c r="F825" s="5" t="s">
        <v>4</v>
      </c>
      <c r="G825" s="5">
        <v>8</v>
      </c>
      <c r="H825" s="5" t="s">
        <v>963</v>
      </c>
      <c r="I825" s="13">
        <v>776137102</v>
      </c>
      <c r="J825" s="10" t="s">
        <v>1808</v>
      </c>
      <c r="K825" t="str">
        <f>LEFT(C825,FIND(" ",C825)-1)&amp;"-"&amp;E825&amp;" "&amp;"Filialina çardırılma"</f>
        <v>Leyla-Baki Filialina çardırılma</v>
      </c>
      <c r="L825">
        <f>VLOOKUP(D825,Anbar!$A$2:$B$5,2,FALSE)</f>
        <v>600</v>
      </c>
      <c r="M825">
        <f>VLOOKUP(D825,Anbar!$A$2:$C$5,3,FALSE)</f>
        <v>950</v>
      </c>
      <c r="N825">
        <f t="shared" si="24"/>
        <v>7600</v>
      </c>
      <c r="O825">
        <f t="shared" si="25"/>
        <v>2800</v>
      </c>
      <c r="P825" t="str">
        <f>IF(AND(F825="Nağd",G825&gt;5),M825*0.9,"0%")</f>
        <v>0%</v>
      </c>
      <c r="Q825" s="9">
        <f>IF(F825="Kredit",EOMONTH(B825,0),"")</f>
        <v>46081</v>
      </c>
      <c r="R825" s="17" t="str">
        <f>TEXT(B825,"dddd")</f>
        <v>Wednesday</v>
      </c>
    </row>
    <row r="826" spans="1:18">
      <c r="A826" s="5" t="s">
        <v>833</v>
      </c>
      <c r="B826" s="8">
        <v>46045</v>
      </c>
      <c r="C826" s="5" t="s">
        <v>975</v>
      </c>
      <c r="D826" s="5" t="s">
        <v>971</v>
      </c>
      <c r="E826" s="5" t="s">
        <v>9</v>
      </c>
      <c r="F826" s="5" t="s">
        <v>4</v>
      </c>
      <c r="G826" s="5">
        <v>5</v>
      </c>
      <c r="H826" s="5" t="s">
        <v>963</v>
      </c>
      <c r="I826" s="13">
        <v>552101010</v>
      </c>
      <c r="J826" s="10" t="s">
        <v>1809</v>
      </c>
      <c r="K826" t="str">
        <f>LEFT(C826,FIND(" ",C826)-1)&amp;"-"&amp;E826&amp;" "&amp;"Filialina çardırılma"</f>
        <v>Murad-Gence Filialina çardırılma</v>
      </c>
      <c r="L826">
        <f>VLOOKUP(D826,Anbar!$A$2:$B$5,2,FALSE)</f>
        <v>1200</v>
      </c>
      <c r="M826">
        <f>VLOOKUP(D826,Anbar!$A$2:$C$5,3,FALSE)</f>
        <v>1800</v>
      </c>
      <c r="N826">
        <f t="shared" si="24"/>
        <v>9000</v>
      </c>
      <c r="O826">
        <f t="shared" si="25"/>
        <v>3000</v>
      </c>
      <c r="P826" t="str">
        <f>IF(AND(F826="Nağd",G826&gt;5),M826*0.9,"0%")</f>
        <v>0%</v>
      </c>
      <c r="Q826" s="9">
        <f>IF(F826="Kredit",EOMONTH(B826,0),"")</f>
        <v>46053</v>
      </c>
      <c r="R826" s="17" t="str">
        <f>TEXT(B826,"dddd")</f>
        <v>Friday</v>
      </c>
    </row>
    <row r="827" spans="1:18">
      <c r="A827" s="5" t="s">
        <v>834</v>
      </c>
      <c r="B827" s="8">
        <v>46032</v>
      </c>
      <c r="C827" s="5" t="s">
        <v>978</v>
      </c>
      <c r="D827" s="5" t="s">
        <v>968</v>
      </c>
      <c r="E827" s="5" t="s">
        <v>9</v>
      </c>
      <c r="F827" s="5" t="s">
        <v>965</v>
      </c>
      <c r="G827" s="5">
        <v>2</v>
      </c>
      <c r="H827" s="5" t="s">
        <v>963</v>
      </c>
      <c r="I827" s="13">
        <v>517035361</v>
      </c>
      <c r="J827" s="10" t="s">
        <v>1810</v>
      </c>
      <c r="K827" t="str">
        <f>LEFT(C827,FIND(" ",C827)-1)&amp;"-"&amp;E827&amp;" "&amp;"Filialina çardırılma"</f>
        <v>Əli-Gence Filialina çardırılma</v>
      </c>
      <c r="L827">
        <f>VLOOKUP(D827,Anbar!$A$2:$B$5,2,FALSE)</f>
        <v>400</v>
      </c>
      <c r="M827">
        <f>VLOOKUP(D827,Anbar!$A$2:$C$5,3,FALSE)</f>
        <v>650</v>
      </c>
      <c r="N827">
        <f t="shared" si="24"/>
        <v>1300</v>
      </c>
      <c r="O827">
        <f t="shared" si="25"/>
        <v>500</v>
      </c>
      <c r="P827" t="str">
        <f>IF(AND(F827="Nağd",G827&gt;5),M827*0.9,"0%")</f>
        <v>0%</v>
      </c>
      <c r="Q827" s="9" t="str">
        <f>IF(F827="Kredit",EOMONTH(B827,0),"")</f>
        <v/>
      </c>
      <c r="R827" s="17" t="str">
        <f>TEXT(B827,"dddd")</f>
        <v>Saturday</v>
      </c>
    </row>
    <row r="828" spans="1:18">
      <c r="A828" s="5" t="s">
        <v>835</v>
      </c>
      <c r="B828" s="8">
        <v>46131</v>
      </c>
      <c r="C828" s="5" t="s">
        <v>976</v>
      </c>
      <c r="D828" s="5" t="s">
        <v>20</v>
      </c>
      <c r="E828" s="5" t="s">
        <v>9</v>
      </c>
      <c r="F828" s="5" t="s">
        <v>965</v>
      </c>
      <c r="G828" s="5">
        <v>5</v>
      </c>
      <c r="H828" s="5" t="s">
        <v>963</v>
      </c>
      <c r="I828" s="13">
        <v>557425554</v>
      </c>
      <c r="J828" s="10" t="s">
        <v>1811</v>
      </c>
      <c r="K828" t="str">
        <f>LEFT(C828,FIND(" ",C828)-1)&amp;"-"&amp;E828&amp;" "&amp;"Filialina çardırılma"</f>
        <v>Nərgin-Gence Filialina çardırılma</v>
      </c>
      <c r="L828">
        <f>VLOOKUP(D828,Anbar!$A$2:$B$5,2,FALSE)</f>
        <v>15</v>
      </c>
      <c r="M828">
        <f>VLOOKUP(D828,Anbar!$A$2:$C$5,3,FALSE)</f>
        <v>45</v>
      </c>
      <c r="N828">
        <f t="shared" si="24"/>
        <v>225</v>
      </c>
      <c r="O828">
        <f t="shared" si="25"/>
        <v>150</v>
      </c>
      <c r="P828" t="str">
        <f>IF(AND(F828="Nağd",G828&gt;5),M828*0.9,"0%")</f>
        <v>0%</v>
      </c>
      <c r="Q828" s="9" t="str">
        <f>IF(F828="Kredit",EOMONTH(B828,0),"")</f>
        <v/>
      </c>
      <c r="R828" s="17" t="str">
        <f>TEXT(B828,"dddd")</f>
        <v>Sunday</v>
      </c>
    </row>
    <row r="829" spans="1:18">
      <c r="A829" s="5" t="s">
        <v>836</v>
      </c>
      <c r="B829" s="8">
        <v>46146</v>
      </c>
      <c r="C829" s="5" t="s">
        <v>975</v>
      </c>
      <c r="D829" s="5" t="s">
        <v>15</v>
      </c>
      <c r="E829" s="5" t="s">
        <v>981</v>
      </c>
      <c r="F829" s="5" t="s">
        <v>4</v>
      </c>
      <c r="G829" s="5">
        <v>7</v>
      </c>
      <c r="H829" s="5" t="s">
        <v>963</v>
      </c>
      <c r="I829" s="13">
        <v>553023686</v>
      </c>
      <c r="J829" s="10" t="s">
        <v>1812</v>
      </c>
      <c r="K829" t="str">
        <f>LEFT(C829,FIND(" ",C829)-1)&amp;"-"&amp;E829&amp;" "&amp;"Filialina çardırılma"</f>
        <v>Murad-Gəncə Filialina çardırılma</v>
      </c>
      <c r="L829">
        <f>VLOOKUP(D829,Anbar!$A$2:$B$5,2,FALSE)</f>
        <v>600</v>
      </c>
      <c r="M829">
        <f>VLOOKUP(D829,Anbar!$A$2:$C$5,3,FALSE)</f>
        <v>950</v>
      </c>
      <c r="N829">
        <f t="shared" si="24"/>
        <v>6650</v>
      </c>
      <c r="O829">
        <f t="shared" si="25"/>
        <v>2450</v>
      </c>
      <c r="P829" t="str">
        <f>IF(AND(F829="Nağd",G829&gt;5),M829*0.9,"0%")</f>
        <v>0%</v>
      </c>
      <c r="Q829" s="9">
        <f>IF(F829="Kredit",EOMONTH(B829,0),"")</f>
        <v>46173</v>
      </c>
      <c r="R829" s="17" t="str">
        <f>TEXT(B829,"dddd")</f>
        <v>Monday</v>
      </c>
    </row>
    <row r="830" spans="1:18">
      <c r="A830" s="5" t="s">
        <v>837</v>
      </c>
      <c r="B830" s="8">
        <v>46080</v>
      </c>
      <c r="C830" s="5" t="s">
        <v>967</v>
      </c>
      <c r="D830" s="5" t="s">
        <v>971</v>
      </c>
      <c r="E830" s="5" t="s">
        <v>980</v>
      </c>
      <c r="F830" s="5" t="s">
        <v>4</v>
      </c>
      <c r="G830" s="5">
        <v>5</v>
      </c>
      <c r="H830" s="5" t="s">
        <v>963</v>
      </c>
      <c r="I830" s="13">
        <v>550957308</v>
      </c>
      <c r="J830" s="10" t="s">
        <v>1813</v>
      </c>
      <c r="K830" t="str">
        <f>LEFT(C830,FIND(" ",C830)-1)&amp;"-"&amp;E830&amp;" "&amp;"Filialina çardırılma"</f>
        <v>Aysel-Sumqayit Filialina çardırılma</v>
      </c>
      <c r="L830">
        <f>VLOOKUP(D830,Anbar!$A$2:$B$5,2,FALSE)</f>
        <v>1200</v>
      </c>
      <c r="M830">
        <f>VLOOKUP(D830,Anbar!$A$2:$C$5,3,FALSE)</f>
        <v>1800</v>
      </c>
      <c r="N830">
        <f t="shared" si="24"/>
        <v>9000</v>
      </c>
      <c r="O830">
        <f t="shared" si="25"/>
        <v>3000</v>
      </c>
      <c r="P830" t="str">
        <f>IF(AND(F830="Nağd",G830&gt;5),M830*0.9,"0%")</f>
        <v>0%</v>
      </c>
      <c r="Q830" s="9">
        <f>IF(F830="Kredit",EOMONTH(B830,0),"")</f>
        <v>46081</v>
      </c>
      <c r="R830" s="17" t="str">
        <f>TEXT(B830,"dddd")</f>
        <v>Friday</v>
      </c>
    </row>
    <row r="831" spans="1:18">
      <c r="A831" s="5" t="s">
        <v>838</v>
      </c>
      <c r="B831" s="8">
        <v>46146</v>
      </c>
      <c r="C831" s="5" t="s">
        <v>976</v>
      </c>
      <c r="D831" s="5" t="s">
        <v>971</v>
      </c>
      <c r="E831" s="5" t="s">
        <v>966</v>
      </c>
      <c r="F831" s="5" t="s">
        <v>965</v>
      </c>
      <c r="G831" s="5">
        <v>1</v>
      </c>
      <c r="H831" s="5" t="s">
        <v>963</v>
      </c>
      <c r="I831" s="13">
        <v>705587776</v>
      </c>
      <c r="J831" s="10" t="s">
        <v>1814</v>
      </c>
      <c r="K831" t="str">
        <f>LEFT(C831,FIND(" ",C831)-1)&amp;"-"&amp;E831&amp;" "&amp;"Filialina çardırılma"</f>
        <v>Nərgin-Bakı Filialina çardırılma</v>
      </c>
      <c r="L831">
        <f>VLOOKUP(D831,Anbar!$A$2:$B$5,2,FALSE)</f>
        <v>1200</v>
      </c>
      <c r="M831">
        <f>VLOOKUP(D831,Anbar!$A$2:$C$5,3,FALSE)</f>
        <v>1800</v>
      </c>
      <c r="N831">
        <f t="shared" si="24"/>
        <v>1800</v>
      </c>
      <c r="O831">
        <f t="shared" si="25"/>
        <v>600</v>
      </c>
      <c r="P831" t="str">
        <f>IF(AND(F831="Nağd",G831&gt;5),M831*0.9,"0%")</f>
        <v>0%</v>
      </c>
      <c r="Q831" s="9" t="str">
        <f>IF(F831="Kredit",EOMONTH(B831,0),"")</f>
        <v/>
      </c>
      <c r="R831" s="17" t="str">
        <f>TEXT(B831,"dddd")</f>
        <v>Monday</v>
      </c>
    </row>
    <row r="832" spans="1:18">
      <c r="A832" s="5" t="s">
        <v>839</v>
      </c>
      <c r="B832" s="8">
        <v>46039</v>
      </c>
      <c r="C832" s="5" t="s">
        <v>979</v>
      </c>
      <c r="D832" s="5" t="s">
        <v>20</v>
      </c>
      <c r="E832" s="5" t="s">
        <v>980</v>
      </c>
      <c r="F832" s="5" t="s">
        <v>965</v>
      </c>
      <c r="G832" s="5">
        <v>8</v>
      </c>
      <c r="H832" s="5" t="s">
        <v>963</v>
      </c>
      <c r="I832" s="13">
        <v>774990491</v>
      </c>
      <c r="J832" s="10" t="s">
        <v>1815</v>
      </c>
      <c r="K832" t="str">
        <f>LEFT(C832,FIND(" ",C832)-1)&amp;"-"&amp;E832&amp;" "&amp;"Filialina çardırılma"</f>
        <v>Leyla-Sumqayit Filialina çardırılma</v>
      </c>
      <c r="L832">
        <f>VLOOKUP(D832,Anbar!$A$2:$B$5,2,FALSE)</f>
        <v>15</v>
      </c>
      <c r="M832">
        <f>VLOOKUP(D832,Anbar!$A$2:$C$5,3,FALSE)</f>
        <v>45</v>
      </c>
      <c r="N832">
        <f t="shared" si="24"/>
        <v>360</v>
      </c>
      <c r="O832">
        <f t="shared" si="25"/>
        <v>240</v>
      </c>
      <c r="P832">
        <f>IF(AND(F832="Nağd",G832&gt;5),M832*0.9,"0%")</f>
        <v>40.5</v>
      </c>
      <c r="Q832" s="9" t="str">
        <f>IF(F832="Kredit",EOMONTH(B832,0),"")</f>
        <v/>
      </c>
      <c r="R832" s="17" t="str">
        <f>TEXT(B832,"dddd")</f>
        <v>Saturday</v>
      </c>
    </row>
    <row r="833" spans="1:18">
      <c r="A833" s="5" t="s">
        <v>840</v>
      </c>
      <c r="B833" s="8">
        <v>46064</v>
      </c>
      <c r="C833" s="5" t="s">
        <v>977</v>
      </c>
      <c r="D833" s="5" t="s">
        <v>15</v>
      </c>
      <c r="E833" s="5" t="s">
        <v>964</v>
      </c>
      <c r="F833" s="5" t="s">
        <v>965</v>
      </c>
      <c r="G833" s="5">
        <v>1</v>
      </c>
      <c r="H833" s="5" t="s">
        <v>963</v>
      </c>
      <c r="I833" s="13">
        <v>511488350</v>
      </c>
      <c r="J833" s="10" t="s">
        <v>1816</v>
      </c>
      <c r="K833" t="str">
        <f>LEFT(C833,FIND(" ",C833)-1)&amp;"-"&amp;E833&amp;" "&amp;"Filialina çardırılma"</f>
        <v>Elnur-Sumqayıt Filialina çardırılma</v>
      </c>
      <c r="L833">
        <f>VLOOKUP(D833,Anbar!$A$2:$B$5,2,FALSE)</f>
        <v>600</v>
      </c>
      <c r="M833">
        <f>VLOOKUP(D833,Anbar!$A$2:$C$5,3,FALSE)</f>
        <v>950</v>
      </c>
      <c r="N833">
        <f t="shared" si="24"/>
        <v>950</v>
      </c>
      <c r="O833">
        <f t="shared" si="25"/>
        <v>350</v>
      </c>
      <c r="P833" t="str">
        <f>IF(AND(F833="Nağd",G833&gt;5),M833*0.9,"0%")</f>
        <v>0%</v>
      </c>
      <c r="Q833" s="9" t="str">
        <f>IF(F833="Kredit",EOMONTH(B833,0),"")</f>
        <v/>
      </c>
      <c r="R833" s="17" t="str">
        <f>TEXT(B833,"dddd")</f>
        <v>Wednesday</v>
      </c>
    </row>
    <row r="834" spans="1:18">
      <c r="A834" s="5" t="s">
        <v>841</v>
      </c>
      <c r="B834" s="8">
        <v>46178</v>
      </c>
      <c r="C834" s="5" t="s">
        <v>975</v>
      </c>
      <c r="D834" s="5" t="s">
        <v>971</v>
      </c>
      <c r="E834" s="5" t="s">
        <v>964</v>
      </c>
      <c r="F834" s="5" t="s">
        <v>965</v>
      </c>
      <c r="G834" s="5">
        <v>2</v>
      </c>
      <c r="H834" s="5" t="s">
        <v>963</v>
      </c>
      <c r="I834" s="13">
        <v>708985583</v>
      </c>
      <c r="J834" s="10" t="s">
        <v>1817</v>
      </c>
      <c r="K834" t="str">
        <f>LEFT(C834,FIND(" ",C834)-1)&amp;"-"&amp;E834&amp;" "&amp;"Filialina çardırılma"</f>
        <v>Murad-Sumqayıt Filialina çardırılma</v>
      </c>
      <c r="L834">
        <f>VLOOKUP(D834,Anbar!$A$2:$B$5,2,FALSE)</f>
        <v>1200</v>
      </c>
      <c r="M834">
        <f>VLOOKUP(D834,Anbar!$A$2:$C$5,3,FALSE)</f>
        <v>1800</v>
      </c>
      <c r="N834">
        <f t="shared" si="24"/>
        <v>3600</v>
      </c>
      <c r="O834">
        <f t="shared" si="25"/>
        <v>1200</v>
      </c>
      <c r="P834" t="str">
        <f>IF(AND(F834="Nağd",G834&gt;5),M834*0.9,"0%")</f>
        <v>0%</v>
      </c>
      <c r="Q834" s="9" t="str">
        <f>IF(F834="Kredit",EOMONTH(B834,0),"")</f>
        <v/>
      </c>
      <c r="R834" s="17" t="str">
        <f>TEXT(B834,"dddd")</f>
        <v>Friday</v>
      </c>
    </row>
    <row r="835" spans="1:18">
      <c r="A835" s="5" t="s">
        <v>842</v>
      </c>
      <c r="B835" s="8">
        <v>46065</v>
      </c>
      <c r="C835" s="5" t="s">
        <v>6</v>
      </c>
      <c r="D835" s="5" t="s">
        <v>20</v>
      </c>
      <c r="E835" s="5" t="s">
        <v>982</v>
      </c>
      <c r="F835" s="5" t="s">
        <v>4</v>
      </c>
      <c r="G835" s="5">
        <v>9</v>
      </c>
      <c r="H835" s="5" t="s">
        <v>963</v>
      </c>
      <c r="I835" s="13">
        <v>512579423</v>
      </c>
      <c r="J835" s="10" t="s">
        <v>1818</v>
      </c>
      <c r="K835" t="str">
        <f>LEFT(C835,FIND(" ",C835)-1)&amp;"-"&amp;E835&amp;" "&amp;"Filialina çardırılma"</f>
        <v>Zaur-Baki Filialina çardırılma</v>
      </c>
      <c r="L835">
        <f>VLOOKUP(D835,Anbar!$A$2:$B$5,2,FALSE)</f>
        <v>15</v>
      </c>
      <c r="M835">
        <f>VLOOKUP(D835,Anbar!$A$2:$C$5,3,FALSE)</f>
        <v>45</v>
      </c>
      <c r="N835">
        <f t="shared" ref="N835:N898" si="26">G835*M835</f>
        <v>405</v>
      </c>
      <c r="O835">
        <f t="shared" ref="O835:O898" si="27">(M835-L835)*G835</f>
        <v>270</v>
      </c>
      <c r="P835" t="str">
        <f>IF(AND(F835="Nağd",G835&gt;5),M835*0.9,"0%")</f>
        <v>0%</v>
      </c>
      <c r="Q835" s="9">
        <f>IF(F835="Kredit",EOMONTH(B835,0),"")</f>
        <v>46081</v>
      </c>
      <c r="R835" s="17" t="str">
        <f>TEXT(B835,"dddd")</f>
        <v>Thursday</v>
      </c>
    </row>
    <row r="836" spans="1:18">
      <c r="A836" s="5" t="s">
        <v>843</v>
      </c>
      <c r="B836" s="8">
        <v>46149</v>
      </c>
      <c r="C836" s="5" t="s">
        <v>967</v>
      </c>
      <c r="D836" s="5" t="s">
        <v>971</v>
      </c>
      <c r="E836" s="5" t="s">
        <v>980</v>
      </c>
      <c r="F836" s="5" t="s">
        <v>965</v>
      </c>
      <c r="G836" s="5">
        <v>3</v>
      </c>
      <c r="H836" s="5" t="s">
        <v>963</v>
      </c>
      <c r="I836" s="13">
        <v>510357425</v>
      </c>
      <c r="J836" s="10" t="s">
        <v>1819</v>
      </c>
      <c r="K836" t="str">
        <f>LEFT(C836,FIND(" ",C836)-1)&amp;"-"&amp;E836&amp;" "&amp;"Filialina çardırılma"</f>
        <v>Aysel-Sumqayit Filialina çardırılma</v>
      </c>
      <c r="L836">
        <f>VLOOKUP(D836,Anbar!$A$2:$B$5,2,FALSE)</f>
        <v>1200</v>
      </c>
      <c r="M836">
        <f>VLOOKUP(D836,Anbar!$A$2:$C$5,3,FALSE)</f>
        <v>1800</v>
      </c>
      <c r="N836">
        <f t="shared" si="26"/>
        <v>5400</v>
      </c>
      <c r="O836">
        <f t="shared" si="27"/>
        <v>1800</v>
      </c>
      <c r="P836" t="str">
        <f>IF(AND(F836="Nağd",G836&gt;5),M836*0.9,"0%")</f>
        <v>0%</v>
      </c>
      <c r="Q836" s="9" t="str">
        <f>IF(F836="Kredit",EOMONTH(B836,0),"")</f>
        <v/>
      </c>
      <c r="R836" s="17" t="str">
        <f>TEXT(B836,"dddd")</f>
        <v>Thursday</v>
      </c>
    </row>
    <row r="837" spans="1:18">
      <c r="A837" s="5" t="s">
        <v>844</v>
      </c>
      <c r="B837" s="8">
        <v>46112</v>
      </c>
      <c r="C837" s="5" t="s">
        <v>977</v>
      </c>
      <c r="D837" s="5" t="s">
        <v>971</v>
      </c>
      <c r="E837" s="5" t="s">
        <v>966</v>
      </c>
      <c r="F837" s="5" t="s">
        <v>965</v>
      </c>
      <c r="G837" s="5">
        <v>7</v>
      </c>
      <c r="H837" s="5" t="s">
        <v>963</v>
      </c>
      <c r="I837" s="13">
        <v>700364084</v>
      </c>
      <c r="J837" s="10" t="s">
        <v>1820</v>
      </c>
      <c r="K837" t="str">
        <f>LEFT(C837,FIND(" ",C837)-1)&amp;"-"&amp;E837&amp;" "&amp;"Filialina çardırılma"</f>
        <v>Elnur-Bakı Filialina çardırılma</v>
      </c>
      <c r="L837">
        <f>VLOOKUP(D837,Anbar!$A$2:$B$5,2,FALSE)</f>
        <v>1200</v>
      </c>
      <c r="M837">
        <f>VLOOKUP(D837,Anbar!$A$2:$C$5,3,FALSE)</f>
        <v>1800</v>
      </c>
      <c r="N837">
        <f t="shared" si="26"/>
        <v>12600</v>
      </c>
      <c r="O837">
        <f t="shared" si="27"/>
        <v>4200</v>
      </c>
      <c r="P837">
        <f>IF(AND(F837="Nağd",G837&gt;5),M837*0.9,"0%")</f>
        <v>1620</v>
      </c>
      <c r="Q837" s="9" t="str">
        <f>IF(F837="Kredit",EOMONTH(B837,0),"")</f>
        <v/>
      </c>
      <c r="R837" s="17" t="str">
        <f>TEXT(B837,"dddd")</f>
        <v>Tuesday</v>
      </c>
    </row>
    <row r="838" spans="1:18">
      <c r="A838" s="5" t="s">
        <v>845</v>
      </c>
      <c r="B838" s="8">
        <v>46160</v>
      </c>
      <c r="C838" s="5" t="s">
        <v>975</v>
      </c>
      <c r="D838" s="5" t="s">
        <v>15</v>
      </c>
      <c r="E838" s="5" t="s">
        <v>980</v>
      </c>
      <c r="F838" s="5" t="s">
        <v>965</v>
      </c>
      <c r="G838" s="5">
        <v>5</v>
      </c>
      <c r="H838" s="5" t="s">
        <v>963</v>
      </c>
      <c r="I838" s="13">
        <v>775999574</v>
      </c>
      <c r="J838" s="10" t="s">
        <v>1821</v>
      </c>
      <c r="K838" t="str">
        <f>LEFT(C838,FIND(" ",C838)-1)&amp;"-"&amp;E838&amp;" "&amp;"Filialina çardırılma"</f>
        <v>Murad-Sumqayit Filialina çardırılma</v>
      </c>
      <c r="L838">
        <f>VLOOKUP(D838,Anbar!$A$2:$B$5,2,FALSE)</f>
        <v>600</v>
      </c>
      <c r="M838">
        <f>VLOOKUP(D838,Anbar!$A$2:$C$5,3,FALSE)</f>
        <v>950</v>
      </c>
      <c r="N838">
        <f t="shared" si="26"/>
        <v>4750</v>
      </c>
      <c r="O838">
        <f t="shared" si="27"/>
        <v>1750</v>
      </c>
      <c r="P838" t="str">
        <f>IF(AND(F838="Nağd",G838&gt;5),M838*0.9,"0%")</f>
        <v>0%</v>
      </c>
      <c r="Q838" s="9" t="str">
        <f>IF(F838="Kredit",EOMONTH(B838,0),"")</f>
        <v/>
      </c>
      <c r="R838" s="17" t="str">
        <f>TEXT(B838,"dddd")</f>
        <v>Monday</v>
      </c>
    </row>
    <row r="839" spans="1:18">
      <c r="A839" s="5" t="s">
        <v>846</v>
      </c>
      <c r="B839" s="8">
        <v>46041</v>
      </c>
      <c r="C839" s="5" t="s">
        <v>978</v>
      </c>
      <c r="D839" s="5" t="s">
        <v>971</v>
      </c>
      <c r="E839" s="5" t="s">
        <v>9</v>
      </c>
      <c r="F839" s="5" t="s">
        <v>965</v>
      </c>
      <c r="G839" s="5">
        <v>1</v>
      </c>
      <c r="H839" s="5" t="s">
        <v>963</v>
      </c>
      <c r="I839" s="13">
        <v>772695507</v>
      </c>
      <c r="J839" s="10" t="s">
        <v>1822</v>
      </c>
      <c r="K839" t="str">
        <f>LEFT(C839,FIND(" ",C839)-1)&amp;"-"&amp;E839&amp;" "&amp;"Filialina çardırılma"</f>
        <v>Əli-Gence Filialina çardırılma</v>
      </c>
      <c r="L839">
        <f>VLOOKUP(D839,Anbar!$A$2:$B$5,2,FALSE)</f>
        <v>1200</v>
      </c>
      <c r="M839">
        <f>VLOOKUP(D839,Anbar!$A$2:$C$5,3,FALSE)</f>
        <v>1800</v>
      </c>
      <c r="N839">
        <f t="shared" si="26"/>
        <v>1800</v>
      </c>
      <c r="O839">
        <f t="shared" si="27"/>
        <v>600</v>
      </c>
      <c r="P839" t="str">
        <f>IF(AND(F839="Nağd",G839&gt;5),M839*0.9,"0%")</f>
        <v>0%</v>
      </c>
      <c r="Q839" s="9" t="str">
        <f>IF(F839="Kredit",EOMONTH(B839,0),"")</f>
        <v/>
      </c>
      <c r="R839" s="17" t="str">
        <f>TEXT(B839,"dddd")</f>
        <v>Monday</v>
      </c>
    </row>
    <row r="840" spans="1:18">
      <c r="A840" s="5" t="s">
        <v>847</v>
      </c>
      <c r="B840" s="8">
        <v>46056</v>
      </c>
      <c r="C840" s="5" t="s">
        <v>974</v>
      </c>
      <c r="D840" s="5" t="s">
        <v>15</v>
      </c>
      <c r="E840" s="5" t="s">
        <v>980</v>
      </c>
      <c r="F840" s="5" t="s">
        <v>7</v>
      </c>
      <c r="G840" s="5">
        <v>3</v>
      </c>
      <c r="H840" s="5" t="s">
        <v>963</v>
      </c>
      <c r="I840" s="13">
        <v>552992555</v>
      </c>
      <c r="J840" s="10" t="s">
        <v>1823</v>
      </c>
      <c r="K840" t="str">
        <f>LEFT(C840,FIND(" ",C840)-1)&amp;"-"&amp;E840&amp;" "&amp;"Filialina çardırılma"</f>
        <v>Ramil-Sumqayit Filialina çardırılma</v>
      </c>
      <c r="L840">
        <f>VLOOKUP(D840,Anbar!$A$2:$B$5,2,FALSE)</f>
        <v>600</v>
      </c>
      <c r="M840">
        <f>VLOOKUP(D840,Anbar!$A$2:$C$5,3,FALSE)</f>
        <v>950</v>
      </c>
      <c r="N840">
        <f t="shared" si="26"/>
        <v>2850</v>
      </c>
      <c r="O840">
        <f t="shared" si="27"/>
        <v>1050</v>
      </c>
      <c r="P840" t="str">
        <f>IF(AND(F840="Nağd",G840&gt;5),M840*0.9,"0%")</f>
        <v>0%</v>
      </c>
      <c r="Q840" s="9" t="str">
        <f>IF(F840="Kredit",EOMONTH(B840,0),"")</f>
        <v/>
      </c>
      <c r="R840" s="17" t="str">
        <f>TEXT(B840,"dddd")</f>
        <v>Tuesday</v>
      </c>
    </row>
    <row r="841" spans="1:18">
      <c r="A841" s="5" t="s">
        <v>848</v>
      </c>
      <c r="B841" s="8">
        <v>46058</v>
      </c>
      <c r="C841" s="5" t="s">
        <v>975</v>
      </c>
      <c r="D841" s="5" t="s">
        <v>971</v>
      </c>
      <c r="E841" s="5" t="s">
        <v>983</v>
      </c>
      <c r="F841" s="5" t="s">
        <v>983</v>
      </c>
      <c r="G841" s="5">
        <v>2</v>
      </c>
      <c r="H841" s="5" t="s">
        <v>963</v>
      </c>
      <c r="I841" s="13">
        <v>705004621</v>
      </c>
      <c r="J841" s="10" t="s">
        <v>1824</v>
      </c>
      <c r="K841" t="str">
        <f>LEFT(C841,FIND(" ",C841)-1)&amp;"-"&amp;E841&amp;" "&amp;"Filialina çardırılma"</f>
        <v>Murad-Naməlum Filialina çardırılma</v>
      </c>
      <c r="L841">
        <f>VLOOKUP(D841,Anbar!$A$2:$B$5,2,FALSE)</f>
        <v>1200</v>
      </c>
      <c r="M841">
        <f>VLOOKUP(D841,Anbar!$A$2:$C$5,3,FALSE)</f>
        <v>1800</v>
      </c>
      <c r="N841">
        <f t="shared" si="26"/>
        <v>3600</v>
      </c>
      <c r="O841">
        <f t="shared" si="27"/>
        <v>1200</v>
      </c>
      <c r="P841" t="str">
        <f>IF(AND(F841="Nağd",G841&gt;5),M841*0.9,"0%")</f>
        <v>0%</v>
      </c>
      <c r="Q841" s="9" t="str">
        <f>IF(F841="Kredit",EOMONTH(B841,0),"")</f>
        <v/>
      </c>
      <c r="R841" s="17" t="str">
        <f>TEXT(B841,"dddd")</f>
        <v>Thursday</v>
      </c>
    </row>
    <row r="842" spans="1:18">
      <c r="A842" s="5" t="s">
        <v>849</v>
      </c>
      <c r="B842" s="8">
        <v>46165</v>
      </c>
      <c r="C842" s="5" t="s">
        <v>978</v>
      </c>
      <c r="D842" s="5" t="s">
        <v>971</v>
      </c>
      <c r="E842" s="5" t="s">
        <v>9</v>
      </c>
      <c r="F842" s="5" t="s">
        <v>7</v>
      </c>
      <c r="G842" s="5">
        <v>6</v>
      </c>
      <c r="H842" s="5" t="s">
        <v>963</v>
      </c>
      <c r="I842" s="13">
        <v>704818245</v>
      </c>
      <c r="J842" s="10" t="s">
        <v>1825</v>
      </c>
      <c r="K842" t="str">
        <f>LEFT(C842,FIND(" ",C842)-1)&amp;"-"&amp;E842&amp;" "&amp;"Filialina çardırılma"</f>
        <v>Əli-Gence Filialina çardırılma</v>
      </c>
      <c r="L842">
        <f>VLOOKUP(D842,Anbar!$A$2:$B$5,2,FALSE)</f>
        <v>1200</v>
      </c>
      <c r="M842">
        <f>VLOOKUP(D842,Anbar!$A$2:$C$5,3,FALSE)</f>
        <v>1800</v>
      </c>
      <c r="N842">
        <f t="shared" si="26"/>
        <v>10800</v>
      </c>
      <c r="O842">
        <f t="shared" si="27"/>
        <v>3600</v>
      </c>
      <c r="P842" t="str">
        <f>IF(AND(F842="Nağd",G842&gt;5),M842*0.9,"0%")</f>
        <v>0%</v>
      </c>
      <c r="Q842" s="9" t="str">
        <f>IF(F842="Kredit",EOMONTH(B842,0),"")</f>
        <v/>
      </c>
      <c r="R842" s="17" t="str">
        <f>TEXT(B842,"dddd")</f>
        <v>Saturday</v>
      </c>
    </row>
    <row r="843" spans="1:18">
      <c r="A843" s="5" t="s">
        <v>850</v>
      </c>
      <c r="B843" s="8">
        <v>46134</v>
      </c>
      <c r="C843" s="5" t="s">
        <v>979</v>
      </c>
      <c r="D843" s="5" t="s">
        <v>971</v>
      </c>
      <c r="E843" s="5" t="s">
        <v>966</v>
      </c>
      <c r="F843" s="5" t="s">
        <v>965</v>
      </c>
      <c r="G843" s="5">
        <v>4</v>
      </c>
      <c r="H843" s="5" t="s">
        <v>963</v>
      </c>
      <c r="I843" s="13">
        <v>707404855</v>
      </c>
      <c r="J843" s="10" t="s">
        <v>1826</v>
      </c>
      <c r="K843" t="str">
        <f>LEFT(C843,FIND(" ",C843)-1)&amp;"-"&amp;E843&amp;" "&amp;"Filialina çardırılma"</f>
        <v>Leyla-Bakı Filialina çardırılma</v>
      </c>
      <c r="L843">
        <f>VLOOKUP(D843,Anbar!$A$2:$B$5,2,FALSE)</f>
        <v>1200</v>
      </c>
      <c r="M843">
        <f>VLOOKUP(D843,Anbar!$A$2:$C$5,3,FALSE)</f>
        <v>1800</v>
      </c>
      <c r="N843">
        <f t="shared" si="26"/>
        <v>7200</v>
      </c>
      <c r="O843">
        <f t="shared" si="27"/>
        <v>2400</v>
      </c>
      <c r="P843" t="str">
        <f>IF(AND(F843="Nağd",G843&gt;5),M843*0.9,"0%")</f>
        <v>0%</v>
      </c>
      <c r="Q843" s="9" t="str">
        <f>IF(F843="Kredit",EOMONTH(B843,0),"")</f>
        <v/>
      </c>
      <c r="R843" s="17" t="str">
        <f>TEXT(B843,"dddd")</f>
        <v>Wednesday</v>
      </c>
    </row>
    <row r="844" spans="1:18">
      <c r="A844" s="5" t="s">
        <v>851</v>
      </c>
      <c r="B844" s="8">
        <v>46159</v>
      </c>
      <c r="C844" s="5" t="s">
        <v>979</v>
      </c>
      <c r="D844" s="5" t="s">
        <v>20</v>
      </c>
      <c r="E844" s="5" t="s">
        <v>982</v>
      </c>
      <c r="F844" s="5" t="s">
        <v>965</v>
      </c>
      <c r="G844" s="5">
        <v>4</v>
      </c>
      <c r="H844" s="5" t="s">
        <v>963</v>
      </c>
      <c r="I844" s="13">
        <v>552161339</v>
      </c>
      <c r="J844" s="10" t="s">
        <v>1827</v>
      </c>
      <c r="K844" t="str">
        <f>LEFT(C844,FIND(" ",C844)-1)&amp;"-"&amp;E844&amp;" "&amp;"Filialina çardırılma"</f>
        <v>Leyla-Baki Filialina çardırılma</v>
      </c>
      <c r="L844">
        <f>VLOOKUP(D844,Anbar!$A$2:$B$5,2,FALSE)</f>
        <v>15</v>
      </c>
      <c r="M844">
        <f>VLOOKUP(D844,Anbar!$A$2:$C$5,3,FALSE)</f>
        <v>45</v>
      </c>
      <c r="N844">
        <f t="shared" si="26"/>
        <v>180</v>
      </c>
      <c r="O844">
        <f t="shared" si="27"/>
        <v>120</v>
      </c>
      <c r="P844" t="str">
        <f>IF(AND(F844="Nağd",G844&gt;5),M844*0.9,"0%")</f>
        <v>0%</v>
      </c>
      <c r="Q844" s="9" t="str">
        <f>IF(F844="Kredit",EOMONTH(B844,0),"")</f>
        <v/>
      </c>
      <c r="R844" s="17" t="str">
        <f>TEXT(B844,"dddd")</f>
        <v>Sunday</v>
      </c>
    </row>
    <row r="845" spans="1:18">
      <c r="A845" s="5" t="s">
        <v>852</v>
      </c>
      <c r="B845" s="8">
        <v>46122</v>
      </c>
      <c r="C845" s="5" t="s">
        <v>967</v>
      </c>
      <c r="D845" s="5" t="s">
        <v>971</v>
      </c>
      <c r="E845" s="5" t="s">
        <v>9</v>
      </c>
      <c r="F845" s="5" t="s">
        <v>7</v>
      </c>
      <c r="G845" s="5">
        <v>6</v>
      </c>
      <c r="H845" s="5" t="s">
        <v>963</v>
      </c>
      <c r="I845" s="13">
        <v>776065128</v>
      </c>
      <c r="J845" s="10" t="s">
        <v>1828</v>
      </c>
      <c r="K845" t="str">
        <f>LEFT(C845,FIND(" ",C845)-1)&amp;"-"&amp;E845&amp;" "&amp;"Filialina çardırılma"</f>
        <v>Aysel-Gence Filialina çardırılma</v>
      </c>
      <c r="L845">
        <f>VLOOKUP(D845,Anbar!$A$2:$B$5,2,FALSE)</f>
        <v>1200</v>
      </c>
      <c r="M845">
        <f>VLOOKUP(D845,Anbar!$A$2:$C$5,3,FALSE)</f>
        <v>1800</v>
      </c>
      <c r="N845">
        <f t="shared" si="26"/>
        <v>10800</v>
      </c>
      <c r="O845">
        <f t="shared" si="27"/>
        <v>3600</v>
      </c>
      <c r="P845" t="str">
        <f>IF(AND(F845="Nağd",G845&gt;5),M845*0.9,"0%")</f>
        <v>0%</v>
      </c>
      <c r="Q845" s="9" t="str">
        <f>IF(F845="Kredit",EOMONTH(B845,0),"")</f>
        <v/>
      </c>
      <c r="R845" s="17" t="str">
        <f>TEXT(B845,"dddd")</f>
        <v>Friday</v>
      </c>
    </row>
    <row r="846" spans="1:18">
      <c r="A846" s="5" t="s">
        <v>853</v>
      </c>
      <c r="B846" s="8">
        <v>46122</v>
      </c>
      <c r="C846" s="5" t="s">
        <v>978</v>
      </c>
      <c r="D846" s="5" t="s">
        <v>20</v>
      </c>
      <c r="E846" s="5" t="s">
        <v>980</v>
      </c>
      <c r="F846" s="5" t="s">
        <v>965</v>
      </c>
      <c r="G846" s="5">
        <v>7</v>
      </c>
      <c r="H846" s="5" t="s">
        <v>963</v>
      </c>
      <c r="I846" s="13">
        <v>512729179</v>
      </c>
      <c r="J846" s="10" t="s">
        <v>1829</v>
      </c>
      <c r="K846" t="str">
        <f>LEFT(C846,FIND(" ",C846)-1)&amp;"-"&amp;E846&amp;" "&amp;"Filialina çardırılma"</f>
        <v>Əli-Sumqayit Filialina çardırılma</v>
      </c>
      <c r="L846">
        <f>VLOOKUP(D846,Anbar!$A$2:$B$5,2,FALSE)</f>
        <v>15</v>
      </c>
      <c r="M846">
        <f>VLOOKUP(D846,Anbar!$A$2:$C$5,3,FALSE)</f>
        <v>45</v>
      </c>
      <c r="N846">
        <f t="shared" si="26"/>
        <v>315</v>
      </c>
      <c r="O846">
        <f t="shared" si="27"/>
        <v>210</v>
      </c>
      <c r="P846">
        <f>IF(AND(F846="Nağd",G846&gt;5),M846*0.9,"0%")</f>
        <v>40.5</v>
      </c>
      <c r="Q846" s="9" t="str">
        <f>IF(F846="Kredit",EOMONTH(B846,0),"")</f>
        <v/>
      </c>
      <c r="R846" s="17" t="str">
        <f>TEXT(B846,"dddd")</f>
        <v>Friday</v>
      </c>
    </row>
    <row r="847" spans="1:18">
      <c r="A847" s="5" t="s">
        <v>854</v>
      </c>
      <c r="B847" s="8">
        <v>46138</v>
      </c>
      <c r="C847" s="5" t="s">
        <v>978</v>
      </c>
      <c r="D847" s="5" t="s">
        <v>15</v>
      </c>
      <c r="E847" s="5" t="s">
        <v>964</v>
      </c>
      <c r="F847" s="5" t="s">
        <v>7</v>
      </c>
      <c r="G847" s="5">
        <v>1</v>
      </c>
      <c r="H847" s="5" t="s">
        <v>963</v>
      </c>
      <c r="I847" s="13">
        <v>505161285</v>
      </c>
      <c r="J847" s="10" t="s">
        <v>1830</v>
      </c>
      <c r="K847" t="str">
        <f>LEFT(C847,FIND(" ",C847)-1)&amp;"-"&amp;E847&amp;" "&amp;"Filialina çardırılma"</f>
        <v>Əli-Sumqayıt Filialina çardırılma</v>
      </c>
      <c r="L847">
        <f>VLOOKUP(D847,Anbar!$A$2:$B$5,2,FALSE)</f>
        <v>600</v>
      </c>
      <c r="M847">
        <f>VLOOKUP(D847,Anbar!$A$2:$C$5,3,FALSE)</f>
        <v>950</v>
      </c>
      <c r="N847">
        <f t="shared" si="26"/>
        <v>950</v>
      </c>
      <c r="O847">
        <f t="shared" si="27"/>
        <v>350</v>
      </c>
      <c r="P847" t="str">
        <f>IF(AND(F847="Nağd",G847&gt;5),M847*0.9,"0%")</f>
        <v>0%</v>
      </c>
      <c r="Q847" s="9" t="str">
        <f>IF(F847="Kredit",EOMONTH(B847,0),"")</f>
        <v/>
      </c>
      <c r="R847" s="17" t="str">
        <f>TEXT(B847,"dddd")</f>
        <v>Sunday</v>
      </c>
    </row>
    <row r="848" spans="1:18">
      <c r="A848" s="5" t="s">
        <v>855</v>
      </c>
      <c r="B848" s="8">
        <v>46087</v>
      </c>
      <c r="C848" s="5" t="s">
        <v>977</v>
      </c>
      <c r="D848" s="5" t="s">
        <v>20</v>
      </c>
      <c r="E848" s="5" t="s">
        <v>982</v>
      </c>
      <c r="F848" s="5" t="s">
        <v>7</v>
      </c>
      <c r="G848" s="5">
        <v>6</v>
      </c>
      <c r="H848" s="5" t="s">
        <v>963</v>
      </c>
      <c r="I848" s="13">
        <v>518667813</v>
      </c>
      <c r="J848" s="10" t="s">
        <v>1831</v>
      </c>
      <c r="K848" t="str">
        <f>LEFT(C848,FIND(" ",C848)-1)&amp;"-"&amp;E848&amp;" "&amp;"Filialina çardırılma"</f>
        <v>Elnur-Baki Filialina çardırılma</v>
      </c>
      <c r="L848">
        <f>VLOOKUP(D848,Anbar!$A$2:$B$5,2,FALSE)</f>
        <v>15</v>
      </c>
      <c r="M848">
        <f>VLOOKUP(D848,Anbar!$A$2:$C$5,3,FALSE)</f>
        <v>45</v>
      </c>
      <c r="N848">
        <f t="shared" si="26"/>
        <v>270</v>
      </c>
      <c r="O848">
        <f t="shared" si="27"/>
        <v>180</v>
      </c>
      <c r="P848" t="str">
        <f>IF(AND(F848="Nağd",G848&gt;5),M848*0.9,"0%")</f>
        <v>0%</v>
      </c>
      <c r="Q848" s="9" t="str">
        <f>IF(F848="Kredit",EOMONTH(B848,0),"")</f>
        <v/>
      </c>
      <c r="R848" s="17" t="str">
        <f>TEXT(B848,"dddd")</f>
        <v>Friday</v>
      </c>
    </row>
    <row r="849" spans="1:18">
      <c r="A849" s="5" t="s">
        <v>856</v>
      </c>
      <c r="B849" s="8">
        <v>46146</v>
      </c>
      <c r="C849" s="5" t="s">
        <v>975</v>
      </c>
      <c r="D849" s="5" t="s">
        <v>971</v>
      </c>
      <c r="E849" s="5" t="s">
        <v>964</v>
      </c>
      <c r="F849" s="5" t="s">
        <v>4</v>
      </c>
      <c r="G849" s="5">
        <v>2</v>
      </c>
      <c r="H849" s="5" t="s">
        <v>963</v>
      </c>
      <c r="I849" s="13">
        <v>706806923</v>
      </c>
      <c r="J849" s="10" t="s">
        <v>1832</v>
      </c>
      <c r="K849" t="str">
        <f>LEFT(C849,FIND(" ",C849)-1)&amp;"-"&amp;E849&amp;" "&amp;"Filialina çardırılma"</f>
        <v>Murad-Sumqayıt Filialina çardırılma</v>
      </c>
      <c r="L849">
        <f>VLOOKUP(D849,Anbar!$A$2:$B$5,2,FALSE)</f>
        <v>1200</v>
      </c>
      <c r="M849">
        <f>VLOOKUP(D849,Anbar!$A$2:$C$5,3,FALSE)</f>
        <v>1800</v>
      </c>
      <c r="N849">
        <f t="shared" si="26"/>
        <v>3600</v>
      </c>
      <c r="O849">
        <f t="shared" si="27"/>
        <v>1200</v>
      </c>
      <c r="P849" t="str">
        <f>IF(AND(F849="Nağd",G849&gt;5),M849*0.9,"0%")</f>
        <v>0%</v>
      </c>
      <c r="Q849" s="9">
        <f>IF(F849="Kredit",EOMONTH(B849,0),"")</f>
        <v>46173</v>
      </c>
      <c r="R849" s="17" t="str">
        <f>TEXT(B849,"dddd")</f>
        <v>Monday</v>
      </c>
    </row>
    <row r="850" spans="1:18">
      <c r="A850" s="5" t="s">
        <v>857</v>
      </c>
      <c r="B850" s="8">
        <v>46128</v>
      </c>
      <c r="C850" s="5" t="s">
        <v>979</v>
      </c>
      <c r="D850" s="5" t="s">
        <v>15</v>
      </c>
      <c r="E850" s="5" t="s">
        <v>966</v>
      </c>
      <c r="F850" s="5" t="s">
        <v>4</v>
      </c>
      <c r="G850" s="5">
        <v>1</v>
      </c>
      <c r="H850" s="5" t="s">
        <v>963</v>
      </c>
      <c r="I850" s="13">
        <v>510634173</v>
      </c>
      <c r="J850" s="10" t="s">
        <v>1833</v>
      </c>
      <c r="K850" t="str">
        <f>LEFT(C850,FIND(" ",C850)-1)&amp;"-"&amp;E850&amp;" "&amp;"Filialina çardırılma"</f>
        <v>Leyla-Bakı Filialina çardırılma</v>
      </c>
      <c r="L850">
        <f>VLOOKUP(D850,Anbar!$A$2:$B$5,2,FALSE)</f>
        <v>600</v>
      </c>
      <c r="M850">
        <f>VLOOKUP(D850,Anbar!$A$2:$C$5,3,FALSE)</f>
        <v>950</v>
      </c>
      <c r="N850">
        <f t="shared" si="26"/>
        <v>950</v>
      </c>
      <c r="O850">
        <f t="shared" si="27"/>
        <v>350</v>
      </c>
      <c r="P850" t="str">
        <f>IF(AND(F850="Nağd",G850&gt;5),M850*0.9,"0%")</f>
        <v>0%</v>
      </c>
      <c r="Q850" s="9">
        <f>IF(F850="Kredit",EOMONTH(B850,0),"")</f>
        <v>46142</v>
      </c>
      <c r="R850" s="17" t="str">
        <f>TEXT(B850,"dddd")</f>
        <v>Thursday</v>
      </c>
    </row>
    <row r="851" spans="1:18">
      <c r="A851" s="5" t="s">
        <v>858</v>
      </c>
      <c r="B851" s="8">
        <v>46111</v>
      </c>
      <c r="C851" s="5" t="s">
        <v>975</v>
      </c>
      <c r="D851" s="5" t="s">
        <v>15</v>
      </c>
      <c r="E851" s="5" t="s">
        <v>980</v>
      </c>
      <c r="F851" s="5" t="s">
        <v>7</v>
      </c>
      <c r="G851" s="5">
        <v>10</v>
      </c>
      <c r="H851" s="5" t="s">
        <v>963</v>
      </c>
      <c r="I851" s="13">
        <v>773306664</v>
      </c>
      <c r="J851" s="10" t="s">
        <v>1834</v>
      </c>
      <c r="K851" t="str">
        <f>LEFT(C851,FIND(" ",C851)-1)&amp;"-"&amp;E851&amp;" "&amp;"Filialina çardırılma"</f>
        <v>Murad-Sumqayit Filialina çardırılma</v>
      </c>
      <c r="L851">
        <f>VLOOKUP(D851,Anbar!$A$2:$B$5,2,FALSE)</f>
        <v>600</v>
      </c>
      <c r="M851">
        <f>VLOOKUP(D851,Anbar!$A$2:$C$5,3,FALSE)</f>
        <v>950</v>
      </c>
      <c r="N851">
        <f t="shared" si="26"/>
        <v>9500</v>
      </c>
      <c r="O851">
        <f t="shared" si="27"/>
        <v>3500</v>
      </c>
      <c r="P851" t="str">
        <f>IF(AND(F851="Nağd",G851&gt;5),M851*0.9,"0%")</f>
        <v>0%</v>
      </c>
      <c r="Q851" s="9" t="str">
        <f>IF(F851="Kredit",EOMONTH(B851,0),"")</f>
        <v/>
      </c>
      <c r="R851" s="17" t="str">
        <f>TEXT(B851,"dddd")</f>
        <v>Monday</v>
      </c>
    </row>
    <row r="852" spans="1:18">
      <c r="A852" s="5" t="s">
        <v>859</v>
      </c>
      <c r="B852" s="8">
        <v>46122</v>
      </c>
      <c r="C852" s="5" t="s">
        <v>979</v>
      </c>
      <c r="D852" s="5" t="s">
        <v>20</v>
      </c>
      <c r="E852" s="5" t="s">
        <v>964</v>
      </c>
      <c r="F852" s="5" t="s">
        <v>965</v>
      </c>
      <c r="G852" s="5">
        <v>2</v>
      </c>
      <c r="H852" s="5" t="s">
        <v>963</v>
      </c>
      <c r="I852" s="13">
        <v>502314035</v>
      </c>
      <c r="J852" s="10" t="s">
        <v>1835</v>
      </c>
      <c r="K852" t="str">
        <f>LEFT(C852,FIND(" ",C852)-1)&amp;"-"&amp;E852&amp;" "&amp;"Filialina çardırılma"</f>
        <v>Leyla-Sumqayıt Filialina çardırılma</v>
      </c>
      <c r="L852">
        <f>VLOOKUP(D852,Anbar!$A$2:$B$5,2,FALSE)</f>
        <v>15</v>
      </c>
      <c r="M852">
        <f>VLOOKUP(D852,Anbar!$A$2:$C$5,3,FALSE)</f>
        <v>45</v>
      </c>
      <c r="N852">
        <f t="shared" si="26"/>
        <v>90</v>
      </c>
      <c r="O852">
        <f t="shared" si="27"/>
        <v>60</v>
      </c>
      <c r="P852" t="str">
        <f>IF(AND(F852="Nağd",G852&gt;5),M852*0.9,"0%")</f>
        <v>0%</v>
      </c>
      <c r="Q852" s="9" t="str">
        <f>IF(F852="Kredit",EOMONTH(B852,0),"")</f>
        <v/>
      </c>
      <c r="R852" s="17" t="str">
        <f>TEXT(B852,"dddd")</f>
        <v>Friday</v>
      </c>
    </row>
    <row r="853" spans="1:18">
      <c r="A853" s="5" t="s">
        <v>860</v>
      </c>
      <c r="B853" s="8">
        <v>46117</v>
      </c>
      <c r="C853" s="5" t="s">
        <v>6</v>
      </c>
      <c r="D853" s="5" t="s">
        <v>971</v>
      </c>
      <c r="E853" s="5" t="s">
        <v>966</v>
      </c>
      <c r="F853" s="5" t="s">
        <v>4</v>
      </c>
      <c r="G853" s="5">
        <v>3</v>
      </c>
      <c r="H853" s="5" t="s">
        <v>963</v>
      </c>
      <c r="I853" s="13">
        <v>776097441</v>
      </c>
      <c r="J853" s="10" t="s">
        <v>1836</v>
      </c>
      <c r="K853" t="str">
        <f>LEFT(C853,FIND(" ",C853)-1)&amp;"-"&amp;E853&amp;" "&amp;"Filialina çardırılma"</f>
        <v>Zaur-Bakı Filialina çardırılma</v>
      </c>
      <c r="L853">
        <f>VLOOKUP(D853,Anbar!$A$2:$B$5,2,FALSE)</f>
        <v>1200</v>
      </c>
      <c r="M853">
        <f>VLOOKUP(D853,Anbar!$A$2:$C$5,3,FALSE)</f>
        <v>1800</v>
      </c>
      <c r="N853">
        <f t="shared" si="26"/>
        <v>5400</v>
      </c>
      <c r="O853">
        <f t="shared" si="27"/>
        <v>1800</v>
      </c>
      <c r="P853" t="str">
        <f>IF(AND(F853="Nağd",G853&gt;5),M853*0.9,"0%")</f>
        <v>0%</v>
      </c>
      <c r="Q853" s="9">
        <f>IF(F853="Kredit",EOMONTH(B853,0),"")</f>
        <v>46142</v>
      </c>
      <c r="R853" s="17" t="str">
        <f>TEXT(B853,"dddd")</f>
        <v>Sunday</v>
      </c>
    </row>
    <row r="854" spans="1:18">
      <c r="A854" s="5" t="s">
        <v>861</v>
      </c>
      <c r="B854" s="8">
        <v>46070</v>
      </c>
      <c r="C854" s="5" t="s">
        <v>979</v>
      </c>
      <c r="D854" s="5" t="s">
        <v>15</v>
      </c>
      <c r="E854" s="5" t="s">
        <v>981</v>
      </c>
      <c r="F854" s="5" t="s">
        <v>4</v>
      </c>
      <c r="G854" s="5">
        <v>2</v>
      </c>
      <c r="H854" s="5" t="s">
        <v>963</v>
      </c>
      <c r="I854" s="13">
        <v>770443684</v>
      </c>
      <c r="J854" s="10" t="s">
        <v>1837</v>
      </c>
      <c r="K854" t="str">
        <f>LEFT(C854,FIND(" ",C854)-1)&amp;"-"&amp;E854&amp;" "&amp;"Filialina çardırılma"</f>
        <v>Leyla-Gəncə Filialina çardırılma</v>
      </c>
      <c r="L854">
        <f>VLOOKUP(D854,Anbar!$A$2:$B$5,2,FALSE)</f>
        <v>600</v>
      </c>
      <c r="M854">
        <f>VLOOKUP(D854,Anbar!$A$2:$C$5,3,FALSE)</f>
        <v>950</v>
      </c>
      <c r="N854">
        <f t="shared" si="26"/>
        <v>1900</v>
      </c>
      <c r="O854">
        <f t="shared" si="27"/>
        <v>700</v>
      </c>
      <c r="P854" t="str">
        <f>IF(AND(F854="Nağd",G854&gt;5),M854*0.9,"0%")</f>
        <v>0%</v>
      </c>
      <c r="Q854" s="9">
        <f>IF(F854="Kredit",EOMONTH(B854,0),"")</f>
        <v>46081</v>
      </c>
      <c r="R854" s="17" t="str">
        <f>TEXT(B854,"dddd")</f>
        <v>Tuesday</v>
      </c>
    </row>
    <row r="855" spans="1:18">
      <c r="A855" s="5" t="s">
        <v>862</v>
      </c>
      <c r="B855" s="8">
        <v>46142</v>
      </c>
      <c r="C855" s="5" t="s">
        <v>978</v>
      </c>
      <c r="D855" s="5" t="s">
        <v>20</v>
      </c>
      <c r="E855" s="5" t="s">
        <v>964</v>
      </c>
      <c r="F855" s="5" t="s">
        <v>965</v>
      </c>
      <c r="G855" s="5">
        <v>4</v>
      </c>
      <c r="H855" s="5" t="s">
        <v>963</v>
      </c>
      <c r="I855" s="13">
        <v>501044841</v>
      </c>
      <c r="J855" s="10" t="s">
        <v>1838</v>
      </c>
      <c r="K855" t="str">
        <f>LEFT(C855,FIND(" ",C855)-1)&amp;"-"&amp;E855&amp;" "&amp;"Filialina çardırılma"</f>
        <v>Əli-Sumqayıt Filialina çardırılma</v>
      </c>
      <c r="L855">
        <f>VLOOKUP(D855,Anbar!$A$2:$B$5,2,FALSE)</f>
        <v>15</v>
      </c>
      <c r="M855">
        <f>VLOOKUP(D855,Anbar!$A$2:$C$5,3,FALSE)</f>
        <v>45</v>
      </c>
      <c r="N855">
        <f t="shared" si="26"/>
        <v>180</v>
      </c>
      <c r="O855">
        <f t="shared" si="27"/>
        <v>120</v>
      </c>
      <c r="P855" t="str">
        <f>IF(AND(F855="Nağd",G855&gt;5),M855*0.9,"0%")</f>
        <v>0%</v>
      </c>
      <c r="Q855" s="9" t="str">
        <f>IF(F855="Kredit",EOMONTH(B855,0),"")</f>
        <v/>
      </c>
      <c r="R855" s="17" t="str">
        <f>TEXT(B855,"dddd")</f>
        <v>Thursday</v>
      </c>
    </row>
    <row r="856" spans="1:18">
      <c r="A856" s="5" t="s">
        <v>863</v>
      </c>
      <c r="B856" s="8">
        <v>46077</v>
      </c>
      <c r="C856" s="5" t="s">
        <v>6</v>
      </c>
      <c r="D856" s="5" t="s">
        <v>971</v>
      </c>
      <c r="E856" s="5" t="s">
        <v>9</v>
      </c>
      <c r="F856" s="5" t="s">
        <v>965</v>
      </c>
      <c r="G856" s="5">
        <v>7</v>
      </c>
      <c r="H856" s="5" t="s">
        <v>963</v>
      </c>
      <c r="I856" s="13">
        <v>516451521</v>
      </c>
      <c r="J856" s="10" t="s">
        <v>1839</v>
      </c>
      <c r="K856" t="str">
        <f>LEFT(C856,FIND(" ",C856)-1)&amp;"-"&amp;E856&amp;" "&amp;"Filialina çardırılma"</f>
        <v>Zaur-Gence Filialina çardırılma</v>
      </c>
      <c r="L856">
        <f>VLOOKUP(D856,Anbar!$A$2:$B$5,2,FALSE)</f>
        <v>1200</v>
      </c>
      <c r="M856">
        <f>VLOOKUP(D856,Anbar!$A$2:$C$5,3,FALSE)</f>
        <v>1800</v>
      </c>
      <c r="N856">
        <f t="shared" si="26"/>
        <v>12600</v>
      </c>
      <c r="O856">
        <f t="shared" si="27"/>
        <v>4200</v>
      </c>
      <c r="P856">
        <f>IF(AND(F856="Nağd",G856&gt;5),M856*0.9,"0%")</f>
        <v>1620</v>
      </c>
      <c r="Q856" s="9" t="str">
        <f>IF(F856="Kredit",EOMONTH(B856,0),"")</f>
        <v/>
      </c>
      <c r="R856" s="17" t="str">
        <f>TEXT(B856,"dddd")</f>
        <v>Tuesday</v>
      </c>
    </row>
    <row r="857" spans="1:18">
      <c r="A857" s="5" t="s">
        <v>864</v>
      </c>
      <c r="B857" s="8">
        <v>46098</v>
      </c>
      <c r="C857" s="5" t="s">
        <v>977</v>
      </c>
      <c r="D857" s="5" t="s">
        <v>15</v>
      </c>
      <c r="E857" s="5" t="s">
        <v>981</v>
      </c>
      <c r="F857" s="5" t="s">
        <v>4</v>
      </c>
      <c r="G857" s="5">
        <v>6</v>
      </c>
      <c r="H857" s="5" t="s">
        <v>963</v>
      </c>
      <c r="I857" s="13">
        <v>506605596</v>
      </c>
      <c r="J857" s="10" t="s">
        <v>1840</v>
      </c>
      <c r="K857" t="str">
        <f>LEFT(C857,FIND(" ",C857)-1)&amp;"-"&amp;E857&amp;" "&amp;"Filialina çardırılma"</f>
        <v>Elnur-Gəncə Filialina çardırılma</v>
      </c>
      <c r="L857">
        <f>VLOOKUP(D857,Anbar!$A$2:$B$5,2,FALSE)</f>
        <v>600</v>
      </c>
      <c r="M857">
        <f>VLOOKUP(D857,Anbar!$A$2:$C$5,3,FALSE)</f>
        <v>950</v>
      </c>
      <c r="N857">
        <f t="shared" si="26"/>
        <v>5700</v>
      </c>
      <c r="O857">
        <f t="shared" si="27"/>
        <v>2100</v>
      </c>
      <c r="P857" t="str">
        <f>IF(AND(F857="Nağd",G857&gt;5),M857*0.9,"0%")</f>
        <v>0%</v>
      </c>
      <c r="Q857" s="9">
        <f>IF(F857="Kredit",EOMONTH(B857,0),"")</f>
        <v>46112</v>
      </c>
      <c r="R857" s="17" t="str">
        <f>TEXT(B857,"dddd")</f>
        <v>Tuesday</v>
      </c>
    </row>
    <row r="858" spans="1:18">
      <c r="A858" s="5" t="s">
        <v>865</v>
      </c>
      <c r="B858" s="8">
        <v>46152</v>
      </c>
      <c r="C858" s="5" t="s">
        <v>978</v>
      </c>
      <c r="D858" s="5" t="s">
        <v>15</v>
      </c>
      <c r="E858" s="5" t="s">
        <v>9</v>
      </c>
      <c r="F858" s="5" t="s">
        <v>4</v>
      </c>
      <c r="G858" s="5">
        <v>4</v>
      </c>
      <c r="H858" s="5" t="s">
        <v>963</v>
      </c>
      <c r="I858" s="13">
        <v>779340076</v>
      </c>
      <c r="J858" s="10" t="s">
        <v>1841</v>
      </c>
      <c r="K858" t="str">
        <f>LEFT(C858,FIND(" ",C858)-1)&amp;"-"&amp;E858&amp;" "&amp;"Filialina çardırılma"</f>
        <v>Əli-Gence Filialina çardırılma</v>
      </c>
      <c r="L858">
        <f>VLOOKUP(D858,Anbar!$A$2:$B$5,2,FALSE)</f>
        <v>600</v>
      </c>
      <c r="M858">
        <f>VLOOKUP(D858,Anbar!$A$2:$C$5,3,FALSE)</f>
        <v>950</v>
      </c>
      <c r="N858">
        <f t="shared" si="26"/>
        <v>3800</v>
      </c>
      <c r="O858">
        <f t="shared" si="27"/>
        <v>1400</v>
      </c>
      <c r="P858" t="str">
        <f>IF(AND(F858="Nağd",G858&gt;5),M858*0.9,"0%")</f>
        <v>0%</v>
      </c>
      <c r="Q858" s="9">
        <f>IF(F858="Kredit",EOMONTH(B858,0),"")</f>
        <v>46173</v>
      </c>
      <c r="R858" s="17" t="str">
        <f>TEXT(B858,"dddd")</f>
        <v>Sunday</v>
      </c>
    </row>
    <row r="859" spans="1:18">
      <c r="A859" s="5" t="s">
        <v>866</v>
      </c>
      <c r="B859" s="8">
        <v>46134</v>
      </c>
      <c r="C859" s="5" t="s">
        <v>977</v>
      </c>
      <c r="D859" s="5" t="s">
        <v>15</v>
      </c>
      <c r="E859" s="5" t="s">
        <v>964</v>
      </c>
      <c r="F859" s="5" t="s">
        <v>7</v>
      </c>
      <c r="G859" s="5">
        <v>7</v>
      </c>
      <c r="H859" s="5" t="s">
        <v>963</v>
      </c>
      <c r="I859" s="13">
        <v>702473506</v>
      </c>
      <c r="J859" s="10" t="s">
        <v>1842</v>
      </c>
      <c r="K859" t="str">
        <f>LEFT(C859,FIND(" ",C859)-1)&amp;"-"&amp;E859&amp;" "&amp;"Filialina çardırılma"</f>
        <v>Elnur-Sumqayıt Filialina çardırılma</v>
      </c>
      <c r="L859">
        <f>VLOOKUP(D859,Anbar!$A$2:$B$5,2,FALSE)</f>
        <v>600</v>
      </c>
      <c r="M859">
        <f>VLOOKUP(D859,Anbar!$A$2:$C$5,3,FALSE)</f>
        <v>950</v>
      </c>
      <c r="N859">
        <f t="shared" si="26"/>
        <v>6650</v>
      </c>
      <c r="O859">
        <f t="shared" si="27"/>
        <v>2450</v>
      </c>
      <c r="P859" t="str">
        <f>IF(AND(F859="Nağd",G859&gt;5),M859*0.9,"0%")</f>
        <v>0%</v>
      </c>
      <c r="Q859" s="9" t="str">
        <f>IF(F859="Kredit",EOMONTH(B859,0),"")</f>
        <v/>
      </c>
      <c r="R859" s="17" t="str">
        <f>TEXT(B859,"dddd")</f>
        <v>Wednesday</v>
      </c>
    </row>
    <row r="860" spans="1:18">
      <c r="A860" s="5" t="s">
        <v>867</v>
      </c>
      <c r="B860" s="8">
        <v>46116</v>
      </c>
      <c r="C860" s="5" t="s">
        <v>967</v>
      </c>
      <c r="D860" s="5" t="s">
        <v>971</v>
      </c>
      <c r="E860" s="5" t="s">
        <v>966</v>
      </c>
      <c r="F860" s="5" t="s">
        <v>965</v>
      </c>
      <c r="G860" s="5">
        <v>1</v>
      </c>
      <c r="H860" s="5" t="s">
        <v>963</v>
      </c>
      <c r="I860" s="13">
        <v>552431157</v>
      </c>
      <c r="J860" s="10" t="s">
        <v>1843</v>
      </c>
      <c r="K860" t="str">
        <f>LEFT(C860,FIND(" ",C860)-1)&amp;"-"&amp;E860&amp;" "&amp;"Filialina çardırılma"</f>
        <v>Aysel-Bakı Filialina çardırılma</v>
      </c>
      <c r="L860">
        <f>VLOOKUP(D860,Anbar!$A$2:$B$5,2,FALSE)</f>
        <v>1200</v>
      </c>
      <c r="M860">
        <f>VLOOKUP(D860,Anbar!$A$2:$C$5,3,FALSE)</f>
        <v>1800</v>
      </c>
      <c r="N860">
        <f t="shared" si="26"/>
        <v>1800</v>
      </c>
      <c r="O860">
        <f t="shared" si="27"/>
        <v>600</v>
      </c>
      <c r="P860" t="str">
        <f>IF(AND(F860="Nağd",G860&gt;5),M860*0.9,"0%")</f>
        <v>0%</v>
      </c>
      <c r="Q860" s="9" t="str">
        <f>IF(F860="Kredit",EOMONTH(B860,0),"")</f>
        <v/>
      </c>
      <c r="R860" s="17" t="str">
        <f>TEXT(B860,"dddd")</f>
        <v>Saturday</v>
      </c>
    </row>
    <row r="861" spans="1:18">
      <c r="A861" s="5" t="s">
        <v>868</v>
      </c>
      <c r="B861" s="8">
        <v>46149</v>
      </c>
      <c r="C861" s="5" t="s">
        <v>976</v>
      </c>
      <c r="D861" s="5" t="s">
        <v>20</v>
      </c>
      <c r="E861" s="5" t="s">
        <v>966</v>
      </c>
      <c r="F861" s="5" t="s">
        <v>4</v>
      </c>
      <c r="G861" s="5">
        <v>8</v>
      </c>
      <c r="H861" s="5" t="s">
        <v>963</v>
      </c>
      <c r="I861" s="13">
        <v>555435889</v>
      </c>
      <c r="J861" s="10" t="s">
        <v>1844</v>
      </c>
      <c r="K861" t="str">
        <f>LEFT(C861,FIND(" ",C861)-1)&amp;"-"&amp;E861&amp;" "&amp;"Filialina çardırılma"</f>
        <v>Nərgin-Bakı Filialina çardırılma</v>
      </c>
      <c r="L861">
        <f>VLOOKUP(D861,Anbar!$A$2:$B$5,2,FALSE)</f>
        <v>15</v>
      </c>
      <c r="M861">
        <f>VLOOKUP(D861,Anbar!$A$2:$C$5,3,FALSE)</f>
        <v>45</v>
      </c>
      <c r="N861">
        <f t="shared" si="26"/>
        <v>360</v>
      </c>
      <c r="O861">
        <f t="shared" si="27"/>
        <v>240</v>
      </c>
      <c r="P861" t="str">
        <f>IF(AND(F861="Nağd",G861&gt;5),M861*0.9,"0%")</f>
        <v>0%</v>
      </c>
      <c r="Q861" s="9">
        <f>IF(F861="Kredit",EOMONTH(B861,0),"")</f>
        <v>46173</v>
      </c>
      <c r="R861" s="17" t="str">
        <f>TEXT(B861,"dddd")</f>
        <v>Thursday</v>
      </c>
    </row>
    <row r="862" spans="1:18">
      <c r="A862" s="5" t="s">
        <v>869</v>
      </c>
      <c r="B862" s="8">
        <v>46070</v>
      </c>
      <c r="C862" s="5" t="s">
        <v>977</v>
      </c>
      <c r="D862" s="5" t="s">
        <v>20</v>
      </c>
      <c r="E862" s="5" t="s">
        <v>981</v>
      </c>
      <c r="F862" s="5" t="s">
        <v>7</v>
      </c>
      <c r="G862" s="5">
        <v>2</v>
      </c>
      <c r="H862" s="5" t="s">
        <v>963</v>
      </c>
      <c r="I862" s="13">
        <v>706109727</v>
      </c>
      <c r="J862" s="10" t="s">
        <v>1845</v>
      </c>
      <c r="K862" t="str">
        <f>LEFT(C862,FIND(" ",C862)-1)&amp;"-"&amp;E862&amp;" "&amp;"Filialina çardırılma"</f>
        <v>Elnur-Gəncə Filialina çardırılma</v>
      </c>
      <c r="L862">
        <f>VLOOKUP(D862,Anbar!$A$2:$B$5,2,FALSE)</f>
        <v>15</v>
      </c>
      <c r="M862">
        <f>VLOOKUP(D862,Anbar!$A$2:$C$5,3,FALSE)</f>
        <v>45</v>
      </c>
      <c r="N862">
        <f t="shared" si="26"/>
        <v>90</v>
      </c>
      <c r="O862">
        <f t="shared" si="27"/>
        <v>60</v>
      </c>
      <c r="P862" t="str">
        <f>IF(AND(F862="Nağd",G862&gt;5),M862*0.9,"0%")</f>
        <v>0%</v>
      </c>
      <c r="Q862" s="9" t="str">
        <f>IF(F862="Kredit",EOMONTH(B862,0),"")</f>
        <v/>
      </c>
      <c r="R862" s="17" t="str">
        <f>TEXT(B862,"dddd")</f>
        <v>Tuesday</v>
      </c>
    </row>
    <row r="863" spans="1:18">
      <c r="A863" s="5" t="s">
        <v>870</v>
      </c>
      <c r="B863" s="8">
        <v>46171</v>
      </c>
      <c r="C863" s="5" t="s">
        <v>979</v>
      </c>
      <c r="D863" s="5" t="s">
        <v>20</v>
      </c>
      <c r="E863" s="5" t="s">
        <v>966</v>
      </c>
      <c r="F863" s="5" t="s">
        <v>965</v>
      </c>
      <c r="G863" s="5">
        <v>2</v>
      </c>
      <c r="H863" s="5" t="s">
        <v>963</v>
      </c>
      <c r="I863" s="13">
        <v>701491329</v>
      </c>
      <c r="J863" s="10" t="s">
        <v>1846</v>
      </c>
      <c r="K863" t="str">
        <f>LEFT(C863,FIND(" ",C863)-1)&amp;"-"&amp;E863&amp;" "&amp;"Filialina çardırılma"</f>
        <v>Leyla-Bakı Filialina çardırılma</v>
      </c>
      <c r="L863">
        <f>VLOOKUP(D863,Anbar!$A$2:$B$5,2,FALSE)</f>
        <v>15</v>
      </c>
      <c r="M863">
        <f>VLOOKUP(D863,Anbar!$A$2:$C$5,3,FALSE)</f>
        <v>45</v>
      </c>
      <c r="N863">
        <f t="shared" si="26"/>
        <v>90</v>
      </c>
      <c r="O863">
        <f t="shared" si="27"/>
        <v>60</v>
      </c>
      <c r="P863" t="str">
        <f>IF(AND(F863="Nağd",G863&gt;5),M863*0.9,"0%")</f>
        <v>0%</v>
      </c>
      <c r="Q863" s="9" t="str">
        <f>IF(F863="Kredit",EOMONTH(B863,0),"")</f>
        <v/>
      </c>
      <c r="R863" s="17" t="str">
        <f>TEXT(B863,"dddd")</f>
        <v>Friday</v>
      </c>
    </row>
    <row r="864" spans="1:18">
      <c r="A864" s="5" t="s">
        <v>871</v>
      </c>
      <c r="B864" s="8">
        <v>46083</v>
      </c>
      <c r="C864" s="5" t="s">
        <v>977</v>
      </c>
      <c r="D864" s="5" t="s">
        <v>15</v>
      </c>
      <c r="E864" s="5" t="s">
        <v>980</v>
      </c>
      <c r="F864" s="5" t="s">
        <v>4</v>
      </c>
      <c r="G864" s="5">
        <v>7</v>
      </c>
      <c r="H864" s="5" t="s">
        <v>963</v>
      </c>
      <c r="I864" s="13">
        <v>504133067</v>
      </c>
      <c r="J864" s="10" t="s">
        <v>1847</v>
      </c>
      <c r="K864" t="str">
        <f>LEFT(C864,FIND(" ",C864)-1)&amp;"-"&amp;E864&amp;" "&amp;"Filialina çardırılma"</f>
        <v>Elnur-Sumqayit Filialina çardırılma</v>
      </c>
      <c r="L864">
        <f>VLOOKUP(D864,Anbar!$A$2:$B$5,2,FALSE)</f>
        <v>600</v>
      </c>
      <c r="M864">
        <f>VLOOKUP(D864,Anbar!$A$2:$C$5,3,FALSE)</f>
        <v>950</v>
      </c>
      <c r="N864">
        <f t="shared" si="26"/>
        <v>6650</v>
      </c>
      <c r="O864">
        <f t="shared" si="27"/>
        <v>2450</v>
      </c>
      <c r="P864" t="str">
        <f>IF(AND(F864="Nağd",G864&gt;5),M864*0.9,"0%")</f>
        <v>0%</v>
      </c>
      <c r="Q864" s="9">
        <f>IF(F864="Kredit",EOMONTH(B864,0),"")</f>
        <v>46112</v>
      </c>
      <c r="R864" s="17" t="str">
        <f>TEXT(B864,"dddd")</f>
        <v>Monday</v>
      </c>
    </row>
    <row r="865" spans="1:18">
      <c r="A865" s="5" t="s">
        <v>872</v>
      </c>
      <c r="B865" s="8">
        <v>46100</v>
      </c>
      <c r="C865" s="5" t="s">
        <v>977</v>
      </c>
      <c r="D865" s="5" t="s">
        <v>968</v>
      </c>
      <c r="E865" s="5" t="s">
        <v>966</v>
      </c>
      <c r="F865" s="5" t="s">
        <v>965</v>
      </c>
      <c r="G865" s="5">
        <v>10</v>
      </c>
      <c r="H865" s="5" t="s">
        <v>963</v>
      </c>
      <c r="I865" s="13">
        <v>705657691</v>
      </c>
      <c r="J865" s="10" t="s">
        <v>1848</v>
      </c>
      <c r="K865" t="str">
        <f>LEFT(C865,FIND(" ",C865)-1)&amp;"-"&amp;E865&amp;" "&amp;"Filialina çardırılma"</f>
        <v>Elnur-Bakı Filialina çardırılma</v>
      </c>
      <c r="L865">
        <f>VLOOKUP(D865,Anbar!$A$2:$B$5,2,FALSE)</f>
        <v>400</v>
      </c>
      <c r="M865">
        <f>VLOOKUP(D865,Anbar!$A$2:$C$5,3,FALSE)</f>
        <v>650</v>
      </c>
      <c r="N865">
        <f t="shared" si="26"/>
        <v>6500</v>
      </c>
      <c r="O865">
        <f t="shared" si="27"/>
        <v>2500</v>
      </c>
      <c r="P865">
        <f>IF(AND(F865="Nağd",G865&gt;5),M865*0.9,"0%")</f>
        <v>585</v>
      </c>
      <c r="Q865" s="9" t="str">
        <f>IF(F865="Kredit",EOMONTH(B865,0),"")</f>
        <v/>
      </c>
      <c r="R865" s="17" t="str">
        <f>TEXT(B865,"dddd")</f>
        <v>Thursday</v>
      </c>
    </row>
    <row r="866" spans="1:18">
      <c r="A866" s="5" t="s">
        <v>873</v>
      </c>
      <c r="B866" s="8">
        <v>46135</v>
      </c>
      <c r="C866" s="5" t="s">
        <v>976</v>
      </c>
      <c r="D866" s="5" t="s">
        <v>20</v>
      </c>
      <c r="E866" s="5" t="s">
        <v>964</v>
      </c>
      <c r="F866" s="5" t="s">
        <v>7</v>
      </c>
      <c r="G866" s="5">
        <v>4</v>
      </c>
      <c r="H866" s="5" t="s">
        <v>963</v>
      </c>
      <c r="I866" s="13">
        <v>776226166</v>
      </c>
      <c r="J866" s="10" t="s">
        <v>1849</v>
      </c>
      <c r="K866" t="str">
        <f>LEFT(C866,FIND(" ",C866)-1)&amp;"-"&amp;E866&amp;" "&amp;"Filialina çardırılma"</f>
        <v>Nərgin-Sumqayıt Filialina çardırılma</v>
      </c>
      <c r="L866">
        <f>VLOOKUP(D866,Anbar!$A$2:$B$5,2,FALSE)</f>
        <v>15</v>
      </c>
      <c r="M866">
        <f>VLOOKUP(D866,Anbar!$A$2:$C$5,3,FALSE)</f>
        <v>45</v>
      </c>
      <c r="N866">
        <f t="shared" si="26"/>
        <v>180</v>
      </c>
      <c r="O866">
        <f t="shared" si="27"/>
        <v>120</v>
      </c>
      <c r="P866" t="str">
        <f>IF(AND(F866="Nağd",G866&gt;5),M866*0.9,"0%")</f>
        <v>0%</v>
      </c>
      <c r="Q866" s="9" t="str">
        <f>IF(F866="Kredit",EOMONTH(B866,0),"")</f>
        <v/>
      </c>
      <c r="R866" s="17" t="str">
        <f>TEXT(B866,"dddd")</f>
        <v>Thursday</v>
      </c>
    </row>
    <row r="867" spans="1:18">
      <c r="A867" s="5" t="s">
        <v>874</v>
      </c>
      <c r="B867" s="8">
        <v>46152</v>
      </c>
      <c r="C867" s="5" t="s">
        <v>976</v>
      </c>
      <c r="D867" s="5" t="s">
        <v>20</v>
      </c>
      <c r="E867" s="5" t="s">
        <v>981</v>
      </c>
      <c r="F867" s="5" t="s">
        <v>4</v>
      </c>
      <c r="G867" s="5">
        <v>3</v>
      </c>
      <c r="H867" s="5" t="s">
        <v>963</v>
      </c>
      <c r="I867" s="13">
        <v>552866121</v>
      </c>
      <c r="J867" s="10" t="s">
        <v>1850</v>
      </c>
      <c r="K867" t="str">
        <f>LEFT(C867,FIND(" ",C867)-1)&amp;"-"&amp;E867&amp;" "&amp;"Filialina çardırılma"</f>
        <v>Nərgin-Gəncə Filialina çardırılma</v>
      </c>
      <c r="L867">
        <f>VLOOKUP(D867,Anbar!$A$2:$B$5,2,FALSE)</f>
        <v>15</v>
      </c>
      <c r="M867">
        <f>VLOOKUP(D867,Anbar!$A$2:$C$5,3,FALSE)</f>
        <v>45</v>
      </c>
      <c r="N867">
        <f t="shared" si="26"/>
        <v>135</v>
      </c>
      <c r="O867">
        <f t="shared" si="27"/>
        <v>90</v>
      </c>
      <c r="P867" t="str">
        <f>IF(AND(F867="Nağd",G867&gt;5),M867*0.9,"0%")</f>
        <v>0%</v>
      </c>
      <c r="Q867" s="9">
        <f>IF(F867="Kredit",EOMONTH(B867,0),"")</f>
        <v>46173</v>
      </c>
      <c r="R867" s="17" t="str">
        <f>TEXT(B867,"dddd")</f>
        <v>Sunday</v>
      </c>
    </row>
    <row r="868" spans="1:18">
      <c r="A868" s="5" t="s">
        <v>875</v>
      </c>
      <c r="B868" s="8">
        <v>46177</v>
      </c>
      <c r="C868" s="5" t="s">
        <v>977</v>
      </c>
      <c r="D868" s="5" t="s">
        <v>15</v>
      </c>
      <c r="E868" s="5" t="s">
        <v>982</v>
      </c>
      <c r="F868" s="5" t="s">
        <v>965</v>
      </c>
      <c r="G868" s="5">
        <v>9</v>
      </c>
      <c r="H868" s="5" t="s">
        <v>963</v>
      </c>
      <c r="I868" s="13">
        <v>505434809</v>
      </c>
      <c r="J868" s="10" t="s">
        <v>1851</v>
      </c>
      <c r="K868" t="str">
        <f>LEFT(C868,FIND(" ",C868)-1)&amp;"-"&amp;E868&amp;" "&amp;"Filialina çardırılma"</f>
        <v>Elnur-Baki Filialina çardırılma</v>
      </c>
      <c r="L868">
        <f>VLOOKUP(D868,Anbar!$A$2:$B$5,2,FALSE)</f>
        <v>600</v>
      </c>
      <c r="M868">
        <f>VLOOKUP(D868,Anbar!$A$2:$C$5,3,FALSE)</f>
        <v>950</v>
      </c>
      <c r="N868">
        <f t="shared" si="26"/>
        <v>8550</v>
      </c>
      <c r="O868">
        <f t="shared" si="27"/>
        <v>3150</v>
      </c>
      <c r="P868">
        <f>IF(AND(F868="Nağd",G868&gt;5),M868*0.9,"0%")</f>
        <v>855</v>
      </c>
      <c r="Q868" s="9" t="str">
        <f>IF(F868="Kredit",EOMONTH(B868,0),"")</f>
        <v/>
      </c>
      <c r="R868" s="17" t="str">
        <f>TEXT(B868,"dddd")</f>
        <v>Thursday</v>
      </c>
    </row>
    <row r="869" spans="1:18">
      <c r="A869" s="5" t="s">
        <v>876</v>
      </c>
      <c r="B869" s="8">
        <v>46081</v>
      </c>
      <c r="C869" s="5" t="s">
        <v>967</v>
      </c>
      <c r="D869" s="5" t="s">
        <v>20</v>
      </c>
      <c r="E869" s="5" t="s">
        <v>964</v>
      </c>
      <c r="F869" s="5" t="s">
        <v>965</v>
      </c>
      <c r="G869" s="5">
        <v>3</v>
      </c>
      <c r="H869" s="5" t="s">
        <v>963</v>
      </c>
      <c r="I869" s="13">
        <v>704383219</v>
      </c>
      <c r="J869" s="10" t="s">
        <v>1852</v>
      </c>
      <c r="K869" t="str">
        <f>LEFT(C869,FIND(" ",C869)-1)&amp;"-"&amp;E869&amp;" "&amp;"Filialina çardırılma"</f>
        <v>Aysel-Sumqayıt Filialina çardırılma</v>
      </c>
      <c r="L869">
        <f>VLOOKUP(D869,Anbar!$A$2:$B$5,2,FALSE)</f>
        <v>15</v>
      </c>
      <c r="M869">
        <f>VLOOKUP(D869,Anbar!$A$2:$C$5,3,FALSE)</f>
        <v>45</v>
      </c>
      <c r="N869">
        <f t="shared" si="26"/>
        <v>135</v>
      </c>
      <c r="O869">
        <f t="shared" si="27"/>
        <v>90</v>
      </c>
      <c r="P869" t="str">
        <f>IF(AND(F869="Nağd",G869&gt;5),M869*0.9,"0%")</f>
        <v>0%</v>
      </c>
      <c r="Q869" s="9" t="str">
        <f>IF(F869="Kredit",EOMONTH(B869,0),"")</f>
        <v/>
      </c>
      <c r="R869" s="17" t="str">
        <f>TEXT(B869,"dddd")</f>
        <v>Saturday</v>
      </c>
    </row>
    <row r="870" spans="1:18">
      <c r="A870" s="5" t="s">
        <v>877</v>
      </c>
      <c r="B870" s="8">
        <v>46151</v>
      </c>
      <c r="C870" s="5" t="s">
        <v>978</v>
      </c>
      <c r="D870" s="5" t="s">
        <v>15</v>
      </c>
      <c r="E870" s="5" t="s">
        <v>9</v>
      </c>
      <c r="F870" s="5" t="s">
        <v>4</v>
      </c>
      <c r="G870" s="5">
        <v>5</v>
      </c>
      <c r="H870" s="5" t="s">
        <v>963</v>
      </c>
      <c r="I870" s="13">
        <v>554467126</v>
      </c>
      <c r="J870" s="10" t="s">
        <v>1853</v>
      </c>
      <c r="K870" t="str">
        <f>LEFT(C870,FIND(" ",C870)-1)&amp;"-"&amp;E870&amp;" "&amp;"Filialina çardırılma"</f>
        <v>Əli-Gence Filialina çardırılma</v>
      </c>
      <c r="L870">
        <f>VLOOKUP(D870,Anbar!$A$2:$B$5,2,FALSE)</f>
        <v>600</v>
      </c>
      <c r="M870">
        <f>VLOOKUP(D870,Anbar!$A$2:$C$5,3,FALSE)</f>
        <v>950</v>
      </c>
      <c r="N870">
        <f t="shared" si="26"/>
        <v>4750</v>
      </c>
      <c r="O870">
        <f t="shared" si="27"/>
        <v>1750</v>
      </c>
      <c r="P870" t="str">
        <f>IF(AND(F870="Nağd",G870&gt;5),M870*0.9,"0%")</f>
        <v>0%</v>
      </c>
      <c r="Q870" s="9">
        <f>IF(F870="Kredit",EOMONTH(B870,0),"")</f>
        <v>46173</v>
      </c>
      <c r="R870" s="17" t="str">
        <f>TEXT(B870,"dddd")</f>
        <v>Saturday</v>
      </c>
    </row>
    <row r="871" spans="1:18">
      <c r="A871" s="5" t="s">
        <v>878</v>
      </c>
      <c r="B871" s="8">
        <v>46156</v>
      </c>
      <c r="C871" s="5" t="s">
        <v>978</v>
      </c>
      <c r="D871" s="5" t="s">
        <v>20</v>
      </c>
      <c r="E871" s="5" t="s">
        <v>981</v>
      </c>
      <c r="F871" s="5" t="s">
        <v>4</v>
      </c>
      <c r="G871" s="5">
        <v>2</v>
      </c>
      <c r="H871" s="5" t="s">
        <v>963</v>
      </c>
      <c r="I871" s="13">
        <v>555526315</v>
      </c>
      <c r="J871" s="10" t="s">
        <v>1854</v>
      </c>
      <c r="K871" t="str">
        <f>LEFT(C871,FIND(" ",C871)-1)&amp;"-"&amp;E871&amp;" "&amp;"Filialina çardırılma"</f>
        <v>Əli-Gəncə Filialina çardırılma</v>
      </c>
      <c r="L871">
        <f>VLOOKUP(D871,Anbar!$A$2:$B$5,2,FALSE)</f>
        <v>15</v>
      </c>
      <c r="M871">
        <f>VLOOKUP(D871,Anbar!$A$2:$C$5,3,FALSE)</f>
        <v>45</v>
      </c>
      <c r="N871">
        <f t="shared" si="26"/>
        <v>90</v>
      </c>
      <c r="O871">
        <f t="shared" si="27"/>
        <v>60</v>
      </c>
      <c r="P871" t="str">
        <f>IF(AND(F871="Nağd",G871&gt;5),M871*0.9,"0%")</f>
        <v>0%</v>
      </c>
      <c r="Q871" s="9">
        <f>IF(F871="Kredit",EOMONTH(B871,0),"")</f>
        <v>46173</v>
      </c>
      <c r="R871" s="17" t="str">
        <f>TEXT(B871,"dddd")</f>
        <v>Thursday</v>
      </c>
    </row>
    <row r="872" spans="1:18">
      <c r="A872" s="5" t="s">
        <v>879</v>
      </c>
      <c r="B872" s="8">
        <v>46124</v>
      </c>
      <c r="C872" s="5" t="s">
        <v>978</v>
      </c>
      <c r="D872" s="5" t="s">
        <v>971</v>
      </c>
      <c r="E872" s="5" t="s">
        <v>9</v>
      </c>
      <c r="F872" s="5" t="s">
        <v>965</v>
      </c>
      <c r="G872" s="5">
        <v>9</v>
      </c>
      <c r="H872" s="5" t="s">
        <v>963</v>
      </c>
      <c r="I872" s="13">
        <v>511882214</v>
      </c>
      <c r="J872" s="10" t="s">
        <v>1855</v>
      </c>
      <c r="K872" t="str">
        <f>LEFT(C872,FIND(" ",C872)-1)&amp;"-"&amp;E872&amp;" "&amp;"Filialina çardırılma"</f>
        <v>Əli-Gence Filialina çardırılma</v>
      </c>
      <c r="L872">
        <f>VLOOKUP(D872,Anbar!$A$2:$B$5,2,FALSE)</f>
        <v>1200</v>
      </c>
      <c r="M872">
        <f>VLOOKUP(D872,Anbar!$A$2:$C$5,3,FALSE)</f>
        <v>1800</v>
      </c>
      <c r="N872">
        <f t="shared" si="26"/>
        <v>16200</v>
      </c>
      <c r="O872">
        <f t="shared" si="27"/>
        <v>5400</v>
      </c>
      <c r="P872">
        <f>IF(AND(F872="Nağd",G872&gt;5),M872*0.9,"0%")</f>
        <v>1620</v>
      </c>
      <c r="Q872" s="9" t="str">
        <f>IF(F872="Kredit",EOMONTH(B872,0),"")</f>
        <v/>
      </c>
      <c r="R872" s="17" t="str">
        <f>TEXT(B872,"dddd")</f>
        <v>Sunday</v>
      </c>
    </row>
    <row r="873" spans="1:18">
      <c r="A873" s="5" t="s">
        <v>880</v>
      </c>
      <c r="B873" s="8">
        <v>46145</v>
      </c>
      <c r="C873" s="5" t="s">
        <v>977</v>
      </c>
      <c r="D873" s="5" t="s">
        <v>971</v>
      </c>
      <c r="E873" s="5" t="s">
        <v>966</v>
      </c>
      <c r="F873" s="5" t="s">
        <v>965</v>
      </c>
      <c r="G873" s="5">
        <v>3</v>
      </c>
      <c r="H873" s="5" t="s">
        <v>963</v>
      </c>
      <c r="I873" s="13">
        <v>501220202</v>
      </c>
      <c r="J873" s="10" t="s">
        <v>1856</v>
      </c>
      <c r="K873" t="str">
        <f>LEFT(C873,FIND(" ",C873)-1)&amp;"-"&amp;E873&amp;" "&amp;"Filialina çardırılma"</f>
        <v>Elnur-Bakı Filialina çardırılma</v>
      </c>
      <c r="L873">
        <f>VLOOKUP(D873,Anbar!$A$2:$B$5,2,FALSE)</f>
        <v>1200</v>
      </c>
      <c r="M873">
        <f>VLOOKUP(D873,Anbar!$A$2:$C$5,3,FALSE)</f>
        <v>1800</v>
      </c>
      <c r="N873">
        <f t="shared" si="26"/>
        <v>5400</v>
      </c>
      <c r="O873">
        <f t="shared" si="27"/>
        <v>1800</v>
      </c>
      <c r="P873" t="str">
        <f>IF(AND(F873="Nağd",G873&gt;5),M873*0.9,"0%")</f>
        <v>0%</v>
      </c>
      <c r="Q873" s="9" t="str">
        <f>IF(F873="Kredit",EOMONTH(B873,0),"")</f>
        <v/>
      </c>
      <c r="R873" s="17" t="str">
        <f>TEXT(B873,"dddd")</f>
        <v>Sunday</v>
      </c>
    </row>
    <row r="874" spans="1:18">
      <c r="A874" s="5" t="s">
        <v>881</v>
      </c>
      <c r="B874" s="8">
        <v>46086</v>
      </c>
      <c r="C874" s="5" t="s">
        <v>6</v>
      </c>
      <c r="D874" s="5" t="s">
        <v>968</v>
      </c>
      <c r="E874" s="5" t="s">
        <v>982</v>
      </c>
      <c r="F874" s="5" t="s">
        <v>965</v>
      </c>
      <c r="G874" s="5">
        <v>4</v>
      </c>
      <c r="H874" s="5" t="s">
        <v>963</v>
      </c>
      <c r="I874" s="13">
        <v>500013108</v>
      </c>
      <c r="J874" s="10" t="s">
        <v>1857</v>
      </c>
      <c r="K874" t="str">
        <f>LEFT(C874,FIND(" ",C874)-1)&amp;"-"&amp;E874&amp;" "&amp;"Filialina çardırılma"</f>
        <v>Zaur-Baki Filialina çardırılma</v>
      </c>
      <c r="L874">
        <f>VLOOKUP(D874,Anbar!$A$2:$B$5,2,FALSE)</f>
        <v>400</v>
      </c>
      <c r="M874">
        <f>VLOOKUP(D874,Anbar!$A$2:$C$5,3,FALSE)</f>
        <v>650</v>
      </c>
      <c r="N874">
        <f t="shared" si="26"/>
        <v>2600</v>
      </c>
      <c r="O874">
        <f t="shared" si="27"/>
        <v>1000</v>
      </c>
      <c r="P874" t="str">
        <f>IF(AND(F874="Nağd",G874&gt;5),M874*0.9,"0%")</f>
        <v>0%</v>
      </c>
      <c r="Q874" s="9" t="str">
        <f>IF(F874="Kredit",EOMONTH(B874,0),"")</f>
        <v/>
      </c>
      <c r="R874" s="17" t="str">
        <f>TEXT(B874,"dddd")</f>
        <v>Thursday</v>
      </c>
    </row>
    <row r="875" spans="1:18">
      <c r="A875" s="5" t="s">
        <v>882</v>
      </c>
      <c r="B875" s="8">
        <v>46076</v>
      </c>
      <c r="C875" s="5" t="s">
        <v>978</v>
      </c>
      <c r="D875" s="5" t="s">
        <v>20</v>
      </c>
      <c r="E875" s="5" t="s">
        <v>9</v>
      </c>
      <c r="F875" s="5" t="s">
        <v>965</v>
      </c>
      <c r="G875" s="5">
        <v>2</v>
      </c>
      <c r="H875" s="5" t="s">
        <v>963</v>
      </c>
      <c r="I875" s="13">
        <v>550109632</v>
      </c>
      <c r="J875" s="10" t="s">
        <v>1858</v>
      </c>
      <c r="K875" t="str">
        <f>LEFT(C875,FIND(" ",C875)-1)&amp;"-"&amp;E875&amp;" "&amp;"Filialina çardırılma"</f>
        <v>Əli-Gence Filialina çardırılma</v>
      </c>
      <c r="L875">
        <f>VLOOKUP(D875,Anbar!$A$2:$B$5,2,FALSE)</f>
        <v>15</v>
      </c>
      <c r="M875">
        <f>VLOOKUP(D875,Anbar!$A$2:$C$5,3,FALSE)</f>
        <v>45</v>
      </c>
      <c r="N875">
        <f t="shared" si="26"/>
        <v>90</v>
      </c>
      <c r="O875">
        <f t="shared" si="27"/>
        <v>60</v>
      </c>
      <c r="P875" t="str">
        <f>IF(AND(F875="Nağd",G875&gt;5),M875*0.9,"0%")</f>
        <v>0%</v>
      </c>
      <c r="Q875" s="9" t="str">
        <f>IF(F875="Kredit",EOMONTH(B875,0),"")</f>
        <v/>
      </c>
      <c r="R875" s="17" t="str">
        <f>TEXT(B875,"dddd")</f>
        <v>Monday</v>
      </c>
    </row>
    <row r="876" spans="1:18">
      <c r="A876" s="5" t="s">
        <v>883</v>
      </c>
      <c r="B876" s="8">
        <v>46156</v>
      </c>
      <c r="C876" s="5" t="s">
        <v>978</v>
      </c>
      <c r="D876" s="5" t="s">
        <v>971</v>
      </c>
      <c r="E876" s="5" t="s">
        <v>983</v>
      </c>
      <c r="F876" s="5" t="s">
        <v>965</v>
      </c>
      <c r="G876" s="5">
        <v>7</v>
      </c>
      <c r="H876" s="5" t="s">
        <v>963</v>
      </c>
      <c r="I876" s="13">
        <v>708594479</v>
      </c>
      <c r="J876" s="10" t="s">
        <v>1859</v>
      </c>
      <c r="K876" t="str">
        <f>LEFT(C876,FIND(" ",C876)-1)&amp;"-"&amp;E876&amp;" "&amp;"Filialina çardırılma"</f>
        <v>Əli-Naməlum Filialina çardırılma</v>
      </c>
      <c r="L876">
        <f>VLOOKUP(D876,Anbar!$A$2:$B$5,2,FALSE)</f>
        <v>1200</v>
      </c>
      <c r="M876">
        <f>VLOOKUP(D876,Anbar!$A$2:$C$5,3,FALSE)</f>
        <v>1800</v>
      </c>
      <c r="N876">
        <f t="shared" si="26"/>
        <v>12600</v>
      </c>
      <c r="O876">
        <f t="shared" si="27"/>
        <v>4200</v>
      </c>
      <c r="P876">
        <f>IF(AND(F876="Nağd",G876&gt;5),M876*0.9,"0%")</f>
        <v>1620</v>
      </c>
      <c r="Q876" s="9" t="str">
        <f>IF(F876="Kredit",EOMONTH(B876,0),"")</f>
        <v/>
      </c>
      <c r="R876" s="17" t="str">
        <f>TEXT(B876,"dddd")</f>
        <v>Thursday</v>
      </c>
    </row>
    <row r="877" spans="1:18">
      <c r="A877" s="5" t="s">
        <v>884</v>
      </c>
      <c r="B877" s="8">
        <v>46042</v>
      </c>
      <c r="C877" s="5" t="s">
        <v>977</v>
      </c>
      <c r="D877" s="5" t="s">
        <v>15</v>
      </c>
      <c r="E877" s="5" t="s">
        <v>980</v>
      </c>
      <c r="F877" s="5" t="s">
        <v>965</v>
      </c>
      <c r="G877" s="5">
        <v>5</v>
      </c>
      <c r="H877" s="5" t="s">
        <v>963</v>
      </c>
      <c r="I877" s="13">
        <v>513402233</v>
      </c>
      <c r="J877" s="10" t="s">
        <v>1860</v>
      </c>
      <c r="K877" t="str">
        <f>LEFT(C877,FIND(" ",C877)-1)&amp;"-"&amp;E877&amp;" "&amp;"Filialina çardırılma"</f>
        <v>Elnur-Sumqayit Filialina çardırılma</v>
      </c>
      <c r="L877">
        <f>VLOOKUP(D877,Anbar!$A$2:$B$5,2,FALSE)</f>
        <v>600</v>
      </c>
      <c r="M877">
        <f>VLOOKUP(D877,Anbar!$A$2:$C$5,3,FALSE)</f>
        <v>950</v>
      </c>
      <c r="N877">
        <f t="shared" si="26"/>
        <v>4750</v>
      </c>
      <c r="O877">
        <f t="shared" si="27"/>
        <v>1750</v>
      </c>
      <c r="P877" t="str">
        <f>IF(AND(F877="Nağd",G877&gt;5),M877*0.9,"0%")</f>
        <v>0%</v>
      </c>
      <c r="Q877" s="9" t="str">
        <f>IF(F877="Kredit",EOMONTH(B877,0),"")</f>
        <v/>
      </c>
      <c r="R877" s="17" t="str">
        <f>TEXT(B877,"dddd")</f>
        <v>Tuesday</v>
      </c>
    </row>
    <row r="878" spans="1:18">
      <c r="A878" s="5" t="s">
        <v>885</v>
      </c>
      <c r="B878" s="8">
        <v>46153</v>
      </c>
      <c r="C878" s="5" t="s">
        <v>976</v>
      </c>
      <c r="D878" s="5" t="s">
        <v>971</v>
      </c>
      <c r="E878" s="5" t="s">
        <v>981</v>
      </c>
      <c r="F878" s="5" t="s">
        <v>4</v>
      </c>
      <c r="G878" s="5">
        <v>8</v>
      </c>
      <c r="H878" s="5" t="s">
        <v>963</v>
      </c>
      <c r="I878" s="13">
        <v>507921062</v>
      </c>
      <c r="J878" s="10" t="s">
        <v>1861</v>
      </c>
      <c r="K878" t="str">
        <f>LEFT(C878,FIND(" ",C878)-1)&amp;"-"&amp;E878&amp;" "&amp;"Filialina çardırılma"</f>
        <v>Nərgin-Gəncə Filialina çardırılma</v>
      </c>
      <c r="L878">
        <f>VLOOKUP(D878,Anbar!$A$2:$B$5,2,FALSE)</f>
        <v>1200</v>
      </c>
      <c r="M878">
        <f>VLOOKUP(D878,Anbar!$A$2:$C$5,3,FALSE)</f>
        <v>1800</v>
      </c>
      <c r="N878">
        <f t="shared" si="26"/>
        <v>14400</v>
      </c>
      <c r="O878">
        <f t="shared" si="27"/>
        <v>4800</v>
      </c>
      <c r="P878" t="str">
        <f>IF(AND(F878="Nağd",G878&gt;5),M878*0.9,"0%")</f>
        <v>0%</v>
      </c>
      <c r="Q878" s="9">
        <f>IF(F878="Kredit",EOMONTH(B878,0),"")</f>
        <v>46173</v>
      </c>
      <c r="R878" s="17" t="str">
        <f>TEXT(B878,"dddd")</f>
        <v>Monday</v>
      </c>
    </row>
    <row r="879" spans="1:18">
      <c r="A879" s="5" t="s">
        <v>886</v>
      </c>
      <c r="B879" s="8">
        <v>46138</v>
      </c>
      <c r="C879" s="5" t="s">
        <v>974</v>
      </c>
      <c r="D879" s="5" t="s">
        <v>971</v>
      </c>
      <c r="E879" s="5" t="s">
        <v>966</v>
      </c>
      <c r="F879" s="5" t="s">
        <v>965</v>
      </c>
      <c r="G879" s="5">
        <v>2</v>
      </c>
      <c r="H879" s="5" t="s">
        <v>963</v>
      </c>
      <c r="I879" s="13">
        <v>700032427</v>
      </c>
      <c r="J879" s="10" t="s">
        <v>1862</v>
      </c>
      <c r="K879" t="str">
        <f>LEFT(C879,FIND(" ",C879)-1)&amp;"-"&amp;E879&amp;" "&amp;"Filialina çardırılma"</f>
        <v>Ramil-Bakı Filialina çardırılma</v>
      </c>
      <c r="L879">
        <f>VLOOKUP(D879,Anbar!$A$2:$B$5,2,FALSE)</f>
        <v>1200</v>
      </c>
      <c r="M879">
        <f>VLOOKUP(D879,Anbar!$A$2:$C$5,3,FALSE)</f>
        <v>1800</v>
      </c>
      <c r="N879">
        <f t="shared" si="26"/>
        <v>3600</v>
      </c>
      <c r="O879">
        <f t="shared" si="27"/>
        <v>1200</v>
      </c>
      <c r="P879" t="str">
        <f>IF(AND(F879="Nağd",G879&gt;5),M879*0.9,"0%")</f>
        <v>0%</v>
      </c>
      <c r="Q879" s="9" t="str">
        <f>IF(F879="Kredit",EOMONTH(B879,0),"")</f>
        <v/>
      </c>
      <c r="R879" s="17" t="str">
        <f>TEXT(B879,"dddd")</f>
        <v>Sunday</v>
      </c>
    </row>
    <row r="880" spans="1:18">
      <c r="A880" s="5" t="s">
        <v>887</v>
      </c>
      <c r="B880" s="8">
        <v>46033</v>
      </c>
      <c r="C880" s="5" t="s">
        <v>977</v>
      </c>
      <c r="D880" s="5" t="s">
        <v>15</v>
      </c>
      <c r="E880" s="5" t="s">
        <v>980</v>
      </c>
      <c r="F880" s="5" t="s">
        <v>965</v>
      </c>
      <c r="G880" s="5">
        <v>10</v>
      </c>
      <c r="H880" s="5" t="s">
        <v>963</v>
      </c>
      <c r="I880" s="13">
        <v>551644806</v>
      </c>
      <c r="J880" s="10" t="s">
        <v>1863</v>
      </c>
      <c r="K880" t="str">
        <f>LEFT(C880,FIND(" ",C880)-1)&amp;"-"&amp;E880&amp;" "&amp;"Filialina çardırılma"</f>
        <v>Elnur-Sumqayit Filialina çardırılma</v>
      </c>
      <c r="L880">
        <f>VLOOKUP(D880,Anbar!$A$2:$B$5,2,FALSE)</f>
        <v>600</v>
      </c>
      <c r="M880">
        <f>VLOOKUP(D880,Anbar!$A$2:$C$5,3,FALSE)</f>
        <v>950</v>
      </c>
      <c r="N880">
        <f t="shared" si="26"/>
        <v>9500</v>
      </c>
      <c r="O880">
        <f t="shared" si="27"/>
        <v>3500</v>
      </c>
      <c r="P880">
        <f>IF(AND(F880="Nağd",G880&gt;5),M880*0.9,"0%")</f>
        <v>855</v>
      </c>
      <c r="Q880" s="9" t="str">
        <f>IF(F880="Kredit",EOMONTH(B880,0),"")</f>
        <v/>
      </c>
      <c r="R880" s="17" t="str">
        <f>TEXT(B880,"dddd")</f>
        <v>Sunday</v>
      </c>
    </row>
    <row r="881" spans="1:18">
      <c r="A881" s="5" t="s">
        <v>888</v>
      </c>
      <c r="B881" s="8">
        <v>46044</v>
      </c>
      <c r="C881" s="5" t="s">
        <v>975</v>
      </c>
      <c r="D881" s="5" t="s">
        <v>968</v>
      </c>
      <c r="E881" s="5" t="s">
        <v>9</v>
      </c>
      <c r="F881" s="5" t="s">
        <v>965</v>
      </c>
      <c r="G881" s="5">
        <v>8</v>
      </c>
      <c r="H881" s="5" t="s">
        <v>963</v>
      </c>
      <c r="I881" s="13">
        <v>779033136</v>
      </c>
      <c r="J881" s="10" t="s">
        <v>1864</v>
      </c>
      <c r="K881" t="str">
        <f>LEFT(C881,FIND(" ",C881)-1)&amp;"-"&amp;E881&amp;" "&amp;"Filialina çardırılma"</f>
        <v>Murad-Gence Filialina çardırılma</v>
      </c>
      <c r="L881">
        <f>VLOOKUP(D881,Anbar!$A$2:$B$5,2,FALSE)</f>
        <v>400</v>
      </c>
      <c r="M881">
        <f>VLOOKUP(D881,Anbar!$A$2:$C$5,3,FALSE)</f>
        <v>650</v>
      </c>
      <c r="N881">
        <f t="shared" si="26"/>
        <v>5200</v>
      </c>
      <c r="O881">
        <f t="shared" si="27"/>
        <v>2000</v>
      </c>
      <c r="P881">
        <f>IF(AND(F881="Nağd",G881&gt;5),M881*0.9,"0%")</f>
        <v>585</v>
      </c>
      <c r="Q881" s="9" t="str">
        <f>IF(F881="Kredit",EOMONTH(B881,0),"")</f>
        <v/>
      </c>
      <c r="R881" s="17" t="str">
        <f>TEXT(B881,"dddd")</f>
        <v>Thursday</v>
      </c>
    </row>
    <row r="882" spans="1:18">
      <c r="A882" s="5" t="s">
        <v>889</v>
      </c>
      <c r="B882" s="8">
        <v>46129</v>
      </c>
      <c r="C882" s="5" t="s">
        <v>967</v>
      </c>
      <c r="D882" s="5" t="s">
        <v>971</v>
      </c>
      <c r="E882" s="5" t="s">
        <v>982</v>
      </c>
      <c r="F882" s="5" t="s">
        <v>965</v>
      </c>
      <c r="G882" s="5">
        <v>7</v>
      </c>
      <c r="H882" s="5" t="s">
        <v>963</v>
      </c>
      <c r="I882" s="13">
        <v>511464650</v>
      </c>
      <c r="J882" s="10" t="s">
        <v>1865</v>
      </c>
      <c r="K882" t="str">
        <f>LEFT(C882,FIND(" ",C882)-1)&amp;"-"&amp;E882&amp;" "&amp;"Filialina çardırılma"</f>
        <v>Aysel-Baki Filialina çardırılma</v>
      </c>
      <c r="L882">
        <f>VLOOKUP(D882,Anbar!$A$2:$B$5,2,FALSE)</f>
        <v>1200</v>
      </c>
      <c r="M882">
        <f>VLOOKUP(D882,Anbar!$A$2:$C$5,3,FALSE)</f>
        <v>1800</v>
      </c>
      <c r="N882">
        <f t="shared" si="26"/>
        <v>12600</v>
      </c>
      <c r="O882">
        <f t="shared" si="27"/>
        <v>4200</v>
      </c>
      <c r="P882">
        <f>IF(AND(F882="Nağd",G882&gt;5),M882*0.9,"0%")</f>
        <v>1620</v>
      </c>
      <c r="Q882" s="9" t="str">
        <f>IF(F882="Kredit",EOMONTH(B882,0),"")</f>
        <v/>
      </c>
      <c r="R882" s="17" t="str">
        <f>TEXT(B882,"dddd")</f>
        <v>Friday</v>
      </c>
    </row>
    <row r="883" spans="1:18">
      <c r="A883" s="5" t="s">
        <v>890</v>
      </c>
      <c r="B883" s="8">
        <v>46080</v>
      </c>
      <c r="C883" s="5" t="s">
        <v>977</v>
      </c>
      <c r="D883" s="5" t="s">
        <v>971</v>
      </c>
      <c r="E883" s="5" t="s">
        <v>981</v>
      </c>
      <c r="F883" s="5" t="s">
        <v>965</v>
      </c>
      <c r="G883" s="5">
        <v>6</v>
      </c>
      <c r="H883" s="5" t="s">
        <v>963</v>
      </c>
      <c r="I883" s="13">
        <v>557896243</v>
      </c>
      <c r="J883" s="10" t="s">
        <v>1866</v>
      </c>
      <c r="K883" t="str">
        <f>LEFT(C883,FIND(" ",C883)-1)&amp;"-"&amp;E883&amp;" "&amp;"Filialina çardırılma"</f>
        <v>Elnur-Gəncə Filialina çardırılma</v>
      </c>
      <c r="L883">
        <f>VLOOKUP(D883,Anbar!$A$2:$B$5,2,FALSE)</f>
        <v>1200</v>
      </c>
      <c r="M883">
        <f>VLOOKUP(D883,Anbar!$A$2:$C$5,3,FALSE)</f>
        <v>1800</v>
      </c>
      <c r="N883">
        <f t="shared" si="26"/>
        <v>10800</v>
      </c>
      <c r="O883">
        <f t="shared" si="27"/>
        <v>3600</v>
      </c>
      <c r="P883">
        <f>IF(AND(F883="Nağd",G883&gt;5),M883*0.9,"0%")</f>
        <v>1620</v>
      </c>
      <c r="Q883" s="9" t="str">
        <f>IF(F883="Kredit",EOMONTH(B883,0),"")</f>
        <v/>
      </c>
      <c r="R883" s="17" t="str">
        <f>TEXT(B883,"dddd")</f>
        <v>Friday</v>
      </c>
    </row>
    <row r="884" spans="1:18">
      <c r="A884" s="5" t="s">
        <v>891</v>
      </c>
      <c r="B884" s="8">
        <v>46167</v>
      </c>
      <c r="C884" s="5" t="s">
        <v>976</v>
      </c>
      <c r="D884" s="5" t="s">
        <v>968</v>
      </c>
      <c r="E884" s="5" t="s">
        <v>982</v>
      </c>
      <c r="F884" s="5" t="s">
        <v>7</v>
      </c>
      <c r="G884" s="5">
        <v>7</v>
      </c>
      <c r="H884" s="5" t="s">
        <v>963</v>
      </c>
      <c r="I884" s="13">
        <v>518996398</v>
      </c>
      <c r="J884" s="10" t="s">
        <v>1867</v>
      </c>
      <c r="K884" t="str">
        <f>LEFT(C884,FIND(" ",C884)-1)&amp;"-"&amp;E884&amp;" "&amp;"Filialina çardırılma"</f>
        <v>Nərgin-Baki Filialina çardırılma</v>
      </c>
      <c r="L884">
        <f>VLOOKUP(D884,Anbar!$A$2:$B$5,2,FALSE)</f>
        <v>400</v>
      </c>
      <c r="M884">
        <f>VLOOKUP(D884,Anbar!$A$2:$C$5,3,FALSE)</f>
        <v>650</v>
      </c>
      <c r="N884">
        <f t="shared" si="26"/>
        <v>4550</v>
      </c>
      <c r="O884">
        <f t="shared" si="27"/>
        <v>1750</v>
      </c>
      <c r="P884" t="str">
        <f>IF(AND(F884="Nağd",G884&gt;5),M884*0.9,"0%")</f>
        <v>0%</v>
      </c>
      <c r="Q884" s="9" t="str">
        <f>IF(F884="Kredit",EOMONTH(B884,0),"")</f>
        <v/>
      </c>
      <c r="R884" s="17" t="str">
        <f>TEXT(B884,"dddd")</f>
        <v>Monday</v>
      </c>
    </row>
    <row r="885" spans="1:18">
      <c r="A885" s="5" t="s">
        <v>892</v>
      </c>
      <c r="B885" s="8">
        <v>46121</v>
      </c>
      <c r="C885" s="5" t="s">
        <v>967</v>
      </c>
      <c r="D885" s="5" t="s">
        <v>15</v>
      </c>
      <c r="E885" s="5" t="s">
        <v>964</v>
      </c>
      <c r="F885" s="5" t="s">
        <v>4</v>
      </c>
      <c r="G885" s="5">
        <v>1</v>
      </c>
      <c r="H885" s="5" t="s">
        <v>963</v>
      </c>
      <c r="I885" s="13">
        <v>776543163</v>
      </c>
      <c r="J885" s="10" t="s">
        <v>1868</v>
      </c>
      <c r="K885" t="str">
        <f>LEFT(C885,FIND(" ",C885)-1)&amp;"-"&amp;E885&amp;" "&amp;"Filialina çardırılma"</f>
        <v>Aysel-Sumqayıt Filialina çardırılma</v>
      </c>
      <c r="L885">
        <f>VLOOKUP(D885,Anbar!$A$2:$B$5,2,FALSE)</f>
        <v>600</v>
      </c>
      <c r="M885">
        <f>VLOOKUP(D885,Anbar!$A$2:$C$5,3,FALSE)</f>
        <v>950</v>
      </c>
      <c r="N885">
        <f t="shared" si="26"/>
        <v>950</v>
      </c>
      <c r="O885">
        <f t="shared" si="27"/>
        <v>350</v>
      </c>
      <c r="P885" t="str">
        <f>IF(AND(F885="Nağd",G885&gt;5),M885*0.9,"0%")</f>
        <v>0%</v>
      </c>
      <c r="Q885" s="9">
        <f>IF(F885="Kredit",EOMONTH(B885,0),"")</f>
        <v>46142</v>
      </c>
      <c r="R885" s="17" t="str">
        <f>TEXT(B885,"dddd")</f>
        <v>Thursday</v>
      </c>
    </row>
    <row r="886" spans="1:18">
      <c r="A886" s="5" t="s">
        <v>893</v>
      </c>
      <c r="B886" s="8">
        <v>46032</v>
      </c>
      <c r="C886" s="5" t="s">
        <v>6</v>
      </c>
      <c r="D886" s="5" t="s">
        <v>20</v>
      </c>
      <c r="E886" s="5" t="s">
        <v>964</v>
      </c>
      <c r="F886" s="5" t="s">
        <v>7</v>
      </c>
      <c r="G886" s="5">
        <v>1</v>
      </c>
      <c r="H886" s="5" t="s">
        <v>963</v>
      </c>
      <c r="I886" s="13">
        <v>702585817</v>
      </c>
      <c r="J886" s="10" t="s">
        <v>1869</v>
      </c>
      <c r="K886" t="str">
        <f>LEFT(C886,FIND(" ",C886)-1)&amp;"-"&amp;E886&amp;" "&amp;"Filialina çardırılma"</f>
        <v>Zaur-Sumqayıt Filialina çardırılma</v>
      </c>
      <c r="L886">
        <f>VLOOKUP(D886,Anbar!$A$2:$B$5,2,FALSE)</f>
        <v>15</v>
      </c>
      <c r="M886">
        <f>VLOOKUP(D886,Anbar!$A$2:$C$5,3,FALSE)</f>
        <v>45</v>
      </c>
      <c r="N886">
        <f t="shared" si="26"/>
        <v>45</v>
      </c>
      <c r="O886">
        <f t="shared" si="27"/>
        <v>30</v>
      </c>
      <c r="P886" t="str">
        <f>IF(AND(F886="Nağd",G886&gt;5),M886*0.9,"0%")</f>
        <v>0%</v>
      </c>
      <c r="Q886" s="9" t="str">
        <f>IF(F886="Kredit",EOMONTH(B886,0),"")</f>
        <v/>
      </c>
      <c r="R886" s="17" t="str">
        <f>TEXT(B886,"dddd")</f>
        <v>Saturday</v>
      </c>
    </row>
    <row r="887" spans="1:18">
      <c r="A887" s="5" t="s">
        <v>894</v>
      </c>
      <c r="B887" s="8">
        <v>46123</v>
      </c>
      <c r="C887" s="5" t="s">
        <v>978</v>
      </c>
      <c r="D887" s="5" t="s">
        <v>971</v>
      </c>
      <c r="E887" s="5" t="s">
        <v>980</v>
      </c>
      <c r="F887" s="5" t="s">
        <v>965</v>
      </c>
      <c r="G887" s="5">
        <v>4</v>
      </c>
      <c r="H887" s="5" t="s">
        <v>963</v>
      </c>
      <c r="I887" s="13">
        <v>501787467</v>
      </c>
      <c r="J887" s="10" t="s">
        <v>1870</v>
      </c>
      <c r="K887" t="str">
        <f>LEFT(C887,FIND(" ",C887)-1)&amp;"-"&amp;E887&amp;" "&amp;"Filialina çardırılma"</f>
        <v>Əli-Sumqayit Filialina çardırılma</v>
      </c>
      <c r="L887">
        <f>VLOOKUP(D887,Anbar!$A$2:$B$5,2,FALSE)</f>
        <v>1200</v>
      </c>
      <c r="M887">
        <f>VLOOKUP(D887,Anbar!$A$2:$C$5,3,FALSE)</f>
        <v>1800</v>
      </c>
      <c r="N887">
        <f t="shared" si="26"/>
        <v>7200</v>
      </c>
      <c r="O887">
        <f t="shared" si="27"/>
        <v>2400</v>
      </c>
      <c r="P887" t="str">
        <f>IF(AND(F887="Nağd",G887&gt;5),M887*0.9,"0%")</f>
        <v>0%</v>
      </c>
      <c r="Q887" s="9" t="str">
        <f>IF(F887="Kredit",EOMONTH(B887,0),"")</f>
        <v/>
      </c>
      <c r="R887" s="17" t="str">
        <f>TEXT(B887,"dddd")</f>
        <v>Saturday</v>
      </c>
    </row>
    <row r="888" spans="1:18">
      <c r="A888" s="5" t="s">
        <v>895</v>
      </c>
      <c r="B888" s="8">
        <v>46052</v>
      </c>
      <c r="C888" s="5" t="s">
        <v>967</v>
      </c>
      <c r="D888" s="5" t="s">
        <v>15</v>
      </c>
      <c r="E888" s="5" t="s">
        <v>966</v>
      </c>
      <c r="F888" s="5" t="s">
        <v>7</v>
      </c>
      <c r="G888" s="5">
        <v>10</v>
      </c>
      <c r="H888" s="5" t="s">
        <v>963</v>
      </c>
      <c r="I888" s="13">
        <v>557054088</v>
      </c>
      <c r="J888" s="10" t="s">
        <v>1871</v>
      </c>
      <c r="K888" t="str">
        <f>LEFT(C888,FIND(" ",C888)-1)&amp;"-"&amp;E888&amp;" "&amp;"Filialina çardırılma"</f>
        <v>Aysel-Bakı Filialina çardırılma</v>
      </c>
      <c r="L888">
        <f>VLOOKUP(D888,Anbar!$A$2:$B$5,2,FALSE)</f>
        <v>600</v>
      </c>
      <c r="M888">
        <f>VLOOKUP(D888,Anbar!$A$2:$C$5,3,FALSE)</f>
        <v>950</v>
      </c>
      <c r="N888">
        <f t="shared" si="26"/>
        <v>9500</v>
      </c>
      <c r="O888">
        <f t="shared" si="27"/>
        <v>3500</v>
      </c>
      <c r="P888" t="str">
        <f>IF(AND(F888="Nağd",G888&gt;5),M888*0.9,"0%")</f>
        <v>0%</v>
      </c>
      <c r="Q888" s="9" t="str">
        <f>IF(F888="Kredit",EOMONTH(B888,0),"")</f>
        <v/>
      </c>
      <c r="R888" s="17" t="str">
        <f>TEXT(B888,"dddd")</f>
        <v>Friday</v>
      </c>
    </row>
    <row r="889" spans="1:18">
      <c r="A889" s="5" t="s">
        <v>896</v>
      </c>
      <c r="B889" s="8">
        <v>46166</v>
      </c>
      <c r="C889" s="5" t="s">
        <v>977</v>
      </c>
      <c r="D889" s="5" t="s">
        <v>20</v>
      </c>
      <c r="E889" s="5" t="s">
        <v>981</v>
      </c>
      <c r="F889" s="5" t="s">
        <v>965</v>
      </c>
      <c r="G889" s="5">
        <v>8</v>
      </c>
      <c r="H889" s="5" t="s">
        <v>963</v>
      </c>
      <c r="I889" s="13">
        <v>772080633</v>
      </c>
      <c r="J889" s="10" t="s">
        <v>1872</v>
      </c>
      <c r="K889" t="str">
        <f>LEFT(C889,FIND(" ",C889)-1)&amp;"-"&amp;E889&amp;" "&amp;"Filialina çardırılma"</f>
        <v>Elnur-Gəncə Filialina çardırılma</v>
      </c>
      <c r="L889">
        <f>VLOOKUP(D889,Anbar!$A$2:$B$5,2,FALSE)</f>
        <v>15</v>
      </c>
      <c r="M889">
        <f>VLOOKUP(D889,Anbar!$A$2:$C$5,3,FALSE)</f>
        <v>45</v>
      </c>
      <c r="N889">
        <f t="shared" si="26"/>
        <v>360</v>
      </c>
      <c r="O889">
        <f t="shared" si="27"/>
        <v>240</v>
      </c>
      <c r="P889">
        <f>IF(AND(F889="Nağd",G889&gt;5),M889*0.9,"0%")</f>
        <v>40.5</v>
      </c>
      <c r="Q889" s="9" t="str">
        <f>IF(F889="Kredit",EOMONTH(B889,0),"")</f>
        <v/>
      </c>
      <c r="R889" s="17" t="str">
        <f>TEXT(B889,"dddd")</f>
        <v>Sunday</v>
      </c>
    </row>
    <row r="890" spans="1:18">
      <c r="A890" s="5" t="s">
        <v>897</v>
      </c>
      <c r="B890" s="8">
        <v>46047</v>
      </c>
      <c r="C890" s="5" t="s">
        <v>976</v>
      </c>
      <c r="D890" s="5" t="s">
        <v>20</v>
      </c>
      <c r="E890" s="5" t="s">
        <v>964</v>
      </c>
      <c r="F890" s="5" t="s">
        <v>7</v>
      </c>
      <c r="G890" s="5">
        <v>1</v>
      </c>
      <c r="H890" s="5" t="s">
        <v>963</v>
      </c>
      <c r="I890" s="13">
        <v>702658630</v>
      </c>
      <c r="J890" s="10" t="s">
        <v>1873</v>
      </c>
      <c r="K890" t="str">
        <f>LEFT(C890,FIND(" ",C890)-1)&amp;"-"&amp;E890&amp;" "&amp;"Filialina çardırılma"</f>
        <v>Nərgin-Sumqayıt Filialina çardırılma</v>
      </c>
      <c r="L890">
        <f>VLOOKUP(D890,Anbar!$A$2:$B$5,2,FALSE)</f>
        <v>15</v>
      </c>
      <c r="M890">
        <f>VLOOKUP(D890,Anbar!$A$2:$C$5,3,FALSE)</f>
        <v>45</v>
      </c>
      <c r="N890">
        <f t="shared" si="26"/>
        <v>45</v>
      </c>
      <c r="O890">
        <f t="shared" si="27"/>
        <v>30</v>
      </c>
      <c r="P890" t="str">
        <f>IF(AND(F890="Nağd",G890&gt;5),M890*0.9,"0%")</f>
        <v>0%</v>
      </c>
      <c r="Q890" s="9" t="str">
        <f>IF(F890="Kredit",EOMONTH(B890,0),"")</f>
        <v/>
      </c>
      <c r="R890" s="17" t="str">
        <f>TEXT(B890,"dddd")</f>
        <v>Sunday</v>
      </c>
    </row>
    <row r="891" spans="1:18">
      <c r="A891" s="5" t="s">
        <v>898</v>
      </c>
      <c r="B891" s="8">
        <v>46151</v>
      </c>
      <c r="C891" s="5" t="s">
        <v>978</v>
      </c>
      <c r="D891" s="5" t="s">
        <v>968</v>
      </c>
      <c r="E891" s="5" t="s">
        <v>966</v>
      </c>
      <c r="F891" s="5" t="s">
        <v>965</v>
      </c>
      <c r="G891" s="5">
        <v>5</v>
      </c>
      <c r="H891" s="5" t="s">
        <v>963</v>
      </c>
      <c r="I891" s="13">
        <v>507136493</v>
      </c>
      <c r="J891" s="10" t="s">
        <v>1874</v>
      </c>
      <c r="K891" t="str">
        <f>LEFT(C891,FIND(" ",C891)-1)&amp;"-"&amp;E891&amp;" "&amp;"Filialina çardırılma"</f>
        <v>Əli-Bakı Filialina çardırılma</v>
      </c>
      <c r="L891">
        <f>VLOOKUP(D891,Anbar!$A$2:$B$5,2,FALSE)</f>
        <v>400</v>
      </c>
      <c r="M891">
        <f>VLOOKUP(D891,Anbar!$A$2:$C$5,3,FALSE)</f>
        <v>650</v>
      </c>
      <c r="N891">
        <f t="shared" si="26"/>
        <v>3250</v>
      </c>
      <c r="O891">
        <f t="shared" si="27"/>
        <v>1250</v>
      </c>
      <c r="P891" t="str">
        <f>IF(AND(F891="Nağd",G891&gt;5),M891*0.9,"0%")</f>
        <v>0%</v>
      </c>
      <c r="Q891" s="9" t="str">
        <f>IF(F891="Kredit",EOMONTH(B891,0),"")</f>
        <v/>
      </c>
      <c r="R891" s="17" t="str">
        <f>TEXT(B891,"dddd")</f>
        <v>Saturday</v>
      </c>
    </row>
    <row r="892" spans="1:18">
      <c r="A892" s="5" t="s">
        <v>899</v>
      </c>
      <c r="B892" s="8">
        <v>46135</v>
      </c>
      <c r="C892" s="5" t="s">
        <v>979</v>
      </c>
      <c r="D892" s="5" t="s">
        <v>15</v>
      </c>
      <c r="E892" s="5" t="s">
        <v>982</v>
      </c>
      <c r="F892" s="5" t="s">
        <v>7</v>
      </c>
      <c r="G892" s="5">
        <v>3</v>
      </c>
      <c r="H892" s="5" t="s">
        <v>963</v>
      </c>
      <c r="I892" s="13">
        <v>558438538</v>
      </c>
      <c r="J892" s="10" t="s">
        <v>1875</v>
      </c>
      <c r="K892" t="str">
        <f>LEFT(C892,FIND(" ",C892)-1)&amp;"-"&amp;E892&amp;" "&amp;"Filialina çardırılma"</f>
        <v>Leyla-Baki Filialina çardırılma</v>
      </c>
      <c r="L892">
        <f>VLOOKUP(D892,Anbar!$A$2:$B$5,2,FALSE)</f>
        <v>600</v>
      </c>
      <c r="M892">
        <f>VLOOKUP(D892,Anbar!$A$2:$C$5,3,FALSE)</f>
        <v>950</v>
      </c>
      <c r="N892">
        <f t="shared" si="26"/>
        <v>2850</v>
      </c>
      <c r="O892">
        <f t="shared" si="27"/>
        <v>1050</v>
      </c>
      <c r="P892" t="str">
        <f>IF(AND(F892="Nağd",G892&gt;5),M892*0.9,"0%")</f>
        <v>0%</v>
      </c>
      <c r="Q892" s="9" t="str">
        <f>IF(F892="Kredit",EOMONTH(B892,0),"")</f>
        <v/>
      </c>
      <c r="R892" s="17" t="str">
        <f>TEXT(B892,"dddd")</f>
        <v>Thursday</v>
      </c>
    </row>
    <row r="893" spans="1:18">
      <c r="A893" s="5" t="s">
        <v>900</v>
      </c>
      <c r="B893" s="8">
        <v>46070</v>
      </c>
      <c r="C893" s="5" t="s">
        <v>974</v>
      </c>
      <c r="D893" s="5" t="s">
        <v>20</v>
      </c>
      <c r="E893" s="5" t="s">
        <v>980</v>
      </c>
      <c r="F893" s="5" t="s">
        <v>965</v>
      </c>
      <c r="G893" s="5">
        <v>2</v>
      </c>
      <c r="H893" s="5" t="s">
        <v>963</v>
      </c>
      <c r="I893" s="13">
        <v>511690064</v>
      </c>
      <c r="J893" s="10" t="s">
        <v>1876</v>
      </c>
      <c r="K893" t="str">
        <f>LEFT(C893,FIND(" ",C893)-1)&amp;"-"&amp;E893&amp;" "&amp;"Filialina çardırılma"</f>
        <v>Ramil-Sumqayit Filialina çardırılma</v>
      </c>
      <c r="L893">
        <f>VLOOKUP(D893,Anbar!$A$2:$B$5,2,FALSE)</f>
        <v>15</v>
      </c>
      <c r="M893">
        <f>VLOOKUP(D893,Anbar!$A$2:$C$5,3,FALSE)</f>
        <v>45</v>
      </c>
      <c r="N893">
        <f t="shared" si="26"/>
        <v>90</v>
      </c>
      <c r="O893">
        <f t="shared" si="27"/>
        <v>60</v>
      </c>
      <c r="P893" t="str">
        <f>IF(AND(F893="Nağd",G893&gt;5),M893*0.9,"0%")</f>
        <v>0%</v>
      </c>
      <c r="Q893" s="9" t="str">
        <f>IF(F893="Kredit",EOMONTH(B893,0),"")</f>
        <v/>
      </c>
      <c r="R893" s="17" t="str">
        <f>TEXT(B893,"dddd")</f>
        <v>Tuesday</v>
      </c>
    </row>
    <row r="894" spans="1:18">
      <c r="A894" s="5" t="s">
        <v>901</v>
      </c>
      <c r="B894" s="8">
        <v>46152</v>
      </c>
      <c r="C894" s="5" t="s">
        <v>977</v>
      </c>
      <c r="D894" s="5" t="s">
        <v>15</v>
      </c>
      <c r="E894" s="5" t="s">
        <v>9</v>
      </c>
      <c r="F894" s="5" t="s">
        <v>4</v>
      </c>
      <c r="G894" s="5">
        <v>8</v>
      </c>
      <c r="H894" s="5" t="s">
        <v>963</v>
      </c>
      <c r="I894" s="13">
        <v>558507108</v>
      </c>
      <c r="J894" s="10" t="s">
        <v>1877</v>
      </c>
      <c r="K894" t="str">
        <f>LEFT(C894,FIND(" ",C894)-1)&amp;"-"&amp;E894&amp;" "&amp;"Filialina çardırılma"</f>
        <v>Elnur-Gence Filialina çardırılma</v>
      </c>
      <c r="L894">
        <f>VLOOKUP(D894,Anbar!$A$2:$B$5,2,FALSE)</f>
        <v>600</v>
      </c>
      <c r="M894">
        <f>VLOOKUP(D894,Anbar!$A$2:$C$5,3,FALSE)</f>
        <v>950</v>
      </c>
      <c r="N894">
        <f t="shared" si="26"/>
        <v>7600</v>
      </c>
      <c r="O894">
        <f t="shared" si="27"/>
        <v>2800</v>
      </c>
      <c r="P894" t="str">
        <f>IF(AND(F894="Nağd",G894&gt;5),M894*0.9,"0%")</f>
        <v>0%</v>
      </c>
      <c r="Q894" s="9">
        <f>IF(F894="Kredit",EOMONTH(B894,0),"")</f>
        <v>46173</v>
      </c>
      <c r="R894" s="17" t="str">
        <f>TEXT(B894,"dddd")</f>
        <v>Sunday</v>
      </c>
    </row>
    <row r="895" spans="1:18">
      <c r="A895" s="5" t="s">
        <v>902</v>
      </c>
      <c r="B895" s="8">
        <v>46080</v>
      </c>
      <c r="C895" s="5" t="s">
        <v>967</v>
      </c>
      <c r="D895" s="5" t="s">
        <v>20</v>
      </c>
      <c r="E895" s="5" t="s">
        <v>964</v>
      </c>
      <c r="F895" s="5" t="s">
        <v>7</v>
      </c>
      <c r="G895" s="5">
        <v>10</v>
      </c>
      <c r="H895" s="5" t="s">
        <v>963</v>
      </c>
      <c r="I895" s="13">
        <v>778920519</v>
      </c>
      <c r="J895" s="10" t="s">
        <v>1878</v>
      </c>
      <c r="K895" t="str">
        <f>LEFT(C895,FIND(" ",C895)-1)&amp;"-"&amp;E895&amp;" "&amp;"Filialina çardırılma"</f>
        <v>Aysel-Sumqayıt Filialina çardırılma</v>
      </c>
      <c r="L895">
        <f>VLOOKUP(D895,Anbar!$A$2:$B$5,2,FALSE)</f>
        <v>15</v>
      </c>
      <c r="M895">
        <f>VLOOKUP(D895,Anbar!$A$2:$C$5,3,FALSE)</f>
        <v>45</v>
      </c>
      <c r="N895">
        <f t="shared" si="26"/>
        <v>450</v>
      </c>
      <c r="O895">
        <f t="shared" si="27"/>
        <v>300</v>
      </c>
      <c r="P895" t="str">
        <f>IF(AND(F895="Nağd",G895&gt;5),M895*0.9,"0%")</f>
        <v>0%</v>
      </c>
      <c r="Q895" s="9" t="str">
        <f>IF(F895="Kredit",EOMONTH(B895,0),"")</f>
        <v/>
      </c>
      <c r="R895" s="17" t="str">
        <f>TEXT(B895,"dddd")</f>
        <v>Friday</v>
      </c>
    </row>
    <row r="896" spans="1:18">
      <c r="A896" s="5" t="s">
        <v>903</v>
      </c>
      <c r="B896" s="8">
        <v>46090</v>
      </c>
      <c r="C896" s="5" t="s">
        <v>976</v>
      </c>
      <c r="D896" s="5" t="s">
        <v>20</v>
      </c>
      <c r="E896" s="5" t="s">
        <v>980</v>
      </c>
      <c r="F896" s="5" t="s">
        <v>4</v>
      </c>
      <c r="G896" s="5">
        <v>8</v>
      </c>
      <c r="H896" s="5" t="s">
        <v>963</v>
      </c>
      <c r="I896" s="13">
        <v>508090400</v>
      </c>
      <c r="J896" s="10" t="s">
        <v>1879</v>
      </c>
      <c r="K896" t="str">
        <f>LEFT(C896,FIND(" ",C896)-1)&amp;"-"&amp;E896&amp;" "&amp;"Filialina çardırılma"</f>
        <v>Nərgin-Sumqayit Filialina çardırılma</v>
      </c>
      <c r="L896">
        <f>VLOOKUP(D896,Anbar!$A$2:$B$5,2,FALSE)</f>
        <v>15</v>
      </c>
      <c r="M896">
        <f>VLOOKUP(D896,Anbar!$A$2:$C$5,3,FALSE)</f>
        <v>45</v>
      </c>
      <c r="N896">
        <f t="shared" si="26"/>
        <v>360</v>
      </c>
      <c r="O896">
        <f t="shared" si="27"/>
        <v>240</v>
      </c>
      <c r="P896" t="str">
        <f>IF(AND(F896="Nağd",G896&gt;5),M896*0.9,"0%")</f>
        <v>0%</v>
      </c>
      <c r="Q896" s="9">
        <f>IF(F896="Kredit",EOMONTH(B896,0),"")</f>
        <v>46112</v>
      </c>
      <c r="R896" s="17" t="str">
        <f>TEXT(B896,"dddd")</f>
        <v>Monday</v>
      </c>
    </row>
    <row r="897" spans="1:18">
      <c r="A897" s="5" t="s">
        <v>904</v>
      </c>
      <c r="B897" s="8">
        <v>46095</v>
      </c>
      <c r="C897" s="5" t="s">
        <v>977</v>
      </c>
      <c r="D897" s="5" t="s">
        <v>15</v>
      </c>
      <c r="E897" s="5" t="s">
        <v>964</v>
      </c>
      <c r="F897" s="5" t="s">
        <v>4</v>
      </c>
      <c r="G897" s="5">
        <v>10</v>
      </c>
      <c r="H897" s="5" t="s">
        <v>963</v>
      </c>
      <c r="I897" s="13">
        <v>771425254</v>
      </c>
      <c r="J897" s="10" t="s">
        <v>1880</v>
      </c>
      <c r="K897" t="str">
        <f>LEFT(C897,FIND(" ",C897)-1)&amp;"-"&amp;E897&amp;" "&amp;"Filialina çardırılma"</f>
        <v>Elnur-Sumqayıt Filialina çardırılma</v>
      </c>
      <c r="L897">
        <f>VLOOKUP(D897,Anbar!$A$2:$B$5,2,FALSE)</f>
        <v>600</v>
      </c>
      <c r="M897">
        <f>VLOOKUP(D897,Anbar!$A$2:$C$5,3,FALSE)</f>
        <v>950</v>
      </c>
      <c r="N897">
        <f t="shared" si="26"/>
        <v>9500</v>
      </c>
      <c r="O897">
        <f t="shared" si="27"/>
        <v>3500</v>
      </c>
      <c r="P897" t="str">
        <f>IF(AND(F897="Nağd",G897&gt;5),M897*0.9,"0%")</f>
        <v>0%</v>
      </c>
      <c r="Q897" s="9">
        <f>IF(F897="Kredit",EOMONTH(B897,0),"")</f>
        <v>46112</v>
      </c>
      <c r="R897" s="17" t="str">
        <f>TEXT(B897,"dddd")</f>
        <v>Saturday</v>
      </c>
    </row>
    <row r="898" spans="1:18">
      <c r="A898" s="5" t="s">
        <v>905</v>
      </c>
      <c r="B898" s="8">
        <v>46039</v>
      </c>
      <c r="C898" s="5" t="s">
        <v>975</v>
      </c>
      <c r="D898" s="5" t="s">
        <v>15</v>
      </c>
      <c r="E898" s="5" t="s">
        <v>9</v>
      </c>
      <c r="F898" s="5" t="s">
        <v>7</v>
      </c>
      <c r="G898" s="5">
        <v>6</v>
      </c>
      <c r="H898" s="5" t="s">
        <v>963</v>
      </c>
      <c r="I898" s="13">
        <v>500882462</v>
      </c>
      <c r="J898" s="10" t="s">
        <v>1881</v>
      </c>
      <c r="K898" t="str">
        <f>LEFT(C898,FIND(" ",C898)-1)&amp;"-"&amp;E898&amp;" "&amp;"Filialina çardırılma"</f>
        <v>Murad-Gence Filialina çardırılma</v>
      </c>
      <c r="L898">
        <f>VLOOKUP(D898,Anbar!$A$2:$B$5,2,FALSE)</f>
        <v>600</v>
      </c>
      <c r="M898">
        <f>VLOOKUP(D898,Anbar!$A$2:$C$5,3,FALSE)</f>
        <v>950</v>
      </c>
      <c r="N898">
        <f t="shared" si="26"/>
        <v>5700</v>
      </c>
      <c r="O898">
        <f t="shared" si="27"/>
        <v>2100</v>
      </c>
      <c r="P898" t="str">
        <f>IF(AND(F898="Nağd",G898&gt;5),M898*0.9,"0%")</f>
        <v>0%</v>
      </c>
      <c r="Q898" s="9" t="str">
        <f>IF(F898="Kredit",EOMONTH(B898,0),"")</f>
        <v/>
      </c>
      <c r="R898" s="17" t="str">
        <f>TEXT(B898,"dddd")</f>
        <v>Saturday</v>
      </c>
    </row>
    <row r="899" spans="1:18">
      <c r="A899" s="5" t="s">
        <v>906</v>
      </c>
      <c r="B899" s="8">
        <v>46088</v>
      </c>
      <c r="C899" s="5" t="s">
        <v>974</v>
      </c>
      <c r="D899" s="5" t="s">
        <v>968</v>
      </c>
      <c r="E899" s="5" t="s">
        <v>9</v>
      </c>
      <c r="F899" s="5" t="s">
        <v>7</v>
      </c>
      <c r="G899" s="5">
        <v>8</v>
      </c>
      <c r="H899" s="5" t="s">
        <v>963</v>
      </c>
      <c r="I899" s="13">
        <v>706160151</v>
      </c>
      <c r="J899" s="10" t="s">
        <v>1882</v>
      </c>
      <c r="K899" t="str">
        <f>LEFT(C899,FIND(" ",C899)-1)&amp;"-"&amp;E899&amp;" "&amp;"Filialina çardırılma"</f>
        <v>Ramil-Gence Filialina çardırılma</v>
      </c>
      <c r="L899">
        <f>VLOOKUP(D899,Anbar!$A$2:$B$5,2,FALSE)</f>
        <v>400</v>
      </c>
      <c r="M899">
        <f>VLOOKUP(D899,Anbar!$A$2:$C$5,3,FALSE)</f>
        <v>650</v>
      </c>
      <c r="N899">
        <f t="shared" ref="N899:N962" si="28">G899*M899</f>
        <v>5200</v>
      </c>
      <c r="O899">
        <f t="shared" ref="O899:O962" si="29">(M899-L899)*G899</f>
        <v>2000</v>
      </c>
      <c r="P899" t="str">
        <f>IF(AND(F899="Nağd",G899&gt;5),M899*0.9,"0%")</f>
        <v>0%</v>
      </c>
      <c r="Q899" s="9" t="str">
        <f>IF(F899="Kredit",EOMONTH(B899,0),"")</f>
        <v/>
      </c>
      <c r="R899" s="17" t="str">
        <f>TEXT(B899,"dddd")</f>
        <v>Saturday</v>
      </c>
    </row>
    <row r="900" spans="1:18">
      <c r="A900" s="5" t="s">
        <v>907</v>
      </c>
      <c r="B900" s="8">
        <v>46098</v>
      </c>
      <c r="C900" s="5" t="s">
        <v>967</v>
      </c>
      <c r="D900" s="5" t="s">
        <v>968</v>
      </c>
      <c r="E900" s="5" t="s">
        <v>9</v>
      </c>
      <c r="F900" s="5" t="s">
        <v>4</v>
      </c>
      <c r="G900" s="5">
        <v>5</v>
      </c>
      <c r="H900" s="5" t="s">
        <v>963</v>
      </c>
      <c r="I900" s="13">
        <v>550869975</v>
      </c>
      <c r="J900" s="10" t="s">
        <v>1883</v>
      </c>
      <c r="K900" t="str">
        <f>LEFT(C900,FIND(" ",C900)-1)&amp;"-"&amp;E900&amp;" "&amp;"Filialina çardırılma"</f>
        <v>Aysel-Gence Filialina çardırılma</v>
      </c>
      <c r="L900">
        <f>VLOOKUP(D900,Anbar!$A$2:$B$5,2,FALSE)</f>
        <v>400</v>
      </c>
      <c r="M900">
        <f>VLOOKUP(D900,Anbar!$A$2:$C$5,3,FALSE)</f>
        <v>650</v>
      </c>
      <c r="N900">
        <f t="shared" si="28"/>
        <v>3250</v>
      </c>
      <c r="O900">
        <f t="shared" si="29"/>
        <v>1250</v>
      </c>
      <c r="P900" t="str">
        <f>IF(AND(F900="Nağd",G900&gt;5),M900*0.9,"0%")</f>
        <v>0%</v>
      </c>
      <c r="Q900" s="9">
        <f>IF(F900="Kredit",EOMONTH(B900,0),"")</f>
        <v>46112</v>
      </c>
      <c r="R900" s="17" t="str">
        <f>TEXT(B900,"dddd")</f>
        <v>Tuesday</v>
      </c>
    </row>
    <row r="901" spans="1:18">
      <c r="A901" s="5" t="s">
        <v>908</v>
      </c>
      <c r="B901" s="8">
        <v>46053</v>
      </c>
      <c r="C901" s="5" t="s">
        <v>979</v>
      </c>
      <c r="D901" s="5" t="s">
        <v>20</v>
      </c>
      <c r="E901" s="5" t="s">
        <v>980</v>
      </c>
      <c r="F901" s="5" t="s">
        <v>983</v>
      </c>
      <c r="G901" s="5">
        <v>10</v>
      </c>
      <c r="H901" s="5" t="s">
        <v>963</v>
      </c>
      <c r="I901" s="13">
        <v>776968996</v>
      </c>
      <c r="J901" s="10" t="s">
        <v>1884</v>
      </c>
      <c r="K901" t="str">
        <f>LEFT(C901,FIND(" ",C901)-1)&amp;"-"&amp;E901&amp;" "&amp;"Filialina çardırılma"</f>
        <v>Leyla-Sumqayit Filialina çardırılma</v>
      </c>
      <c r="L901">
        <f>VLOOKUP(D901,Anbar!$A$2:$B$5,2,FALSE)</f>
        <v>15</v>
      </c>
      <c r="M901">
        <f>VLOOKUP(D901,Anbar!$A$2:$C$5,3,FALSE)</f>
        <v>45</v>
      </c>
      <c r="N901">
        <f t="shared" si="28"/>
        <v>450</v>
      </c>
      <c r="O901">
        <f t="shared" si="29"/>
        <v>300</v>
      </c>
      <c r="P901" t="str">
        <f>IF(AND(F901="Nağd",G901&gt;5),M901*0.9,"0%")</f>
        <v>0%</v>
      </c>
      <c r="Q901" s="9" t="str">
        <f>IF(F901="Kredit",EOMONTH(B901,0),"")</f>
        <v/>
      </c>
      <c r="R901" s="17" t="str">
        <f>TEXT(B901,"dddd")</f>
        <v>Saturday</v>
      </c>
    </row>
    <row r="902" spans="1:18">
      <c r="A902" s="5" t="s">
        <v>909</v>
      </c>
      <c r="B902" s="8">
        <v>46093</v>
      </c>
      <c r="C902" s="5" t="s">
        <v>976</v>
      </c>
      <c r="D902" s="5" t="s">
        <v>20</v>
      </c>
      <c r="E902" s="5" t="s">
        <v>9</v>
      </c>
      <c r="F902" s="5" t="s">
        <v>7</v>
      </c>
      <c r="G902" s="5">
        <v>5</v>
      </c>
      <c r="H902" s="5" t="s">
        <v>963</v>
      </c>
      <c r="I902" s="13">
        <v>518329864</v>
      </c>
      <c r="J902" s="10" t="s">
        <v>1885</v>
      </c>
      <c r="K902" t="str">
        <f>LEFT(C902,FIND(" ",C902)-1)&amp;"-"&amp;E902&amp;" "&amp;"Filialina çardırılma"</f>
        <v>Nərgin-Gence Filialina çardırılma</v>
      </c>
      <c r="L902">
        <f>VLOOKUP(D902,Anbar!$A$2:$B$5,2,FALSE)</f>
        <v>15</v>
      </c>
      <c r="M902">
        <f>VLOOKUP(D902,Anbar!$A$2:$C$5,3,FALSE)</f>
        <v>45</v>
      </c>
      <c r="N902">
        <f t="shared" si="28"/>
        <v>225</v>
      </c>
      <c r="O902">
        <f t="shared" si="29"/>
        <v>150</v>
      </c>
      <c r="P902" t="str">
        <f>IF(AND(F902="Nağd",G902&gt;5),M902*0.9,"0%")</f>
        <v>0%</v>
      </c>
      <c r="Q902" s="9" t="str">
        <f>IF(F902="Kredit",EOMONTH(B902,0),"")</f>
        <v/>
      </c>
      <c r="R902" s="17" t="str">
        <f>TEXT(B902,"dddd")</f>
        <v>Thursday</v>
      </c>
    </row>
    <row r="903" spans="1:18">
      <c r="A903" s="5" t="s">
        <v>910</v>
      </c>
      <c r="B903" s="8">
        <v>46087</v>
      </c>
      <c r="C903" s="5" t="s">
        <v>978</v>
      </c>
      <c r="D903" s="5" t="s">
        <v>15</v>
      </c>
      <c r="E903" s="5" t="s">
        <v>980</v>
      </c>
      <c r="F903" s="5" t="s">
        <v>4</v>
      </c>
      <c r="G903" s="5">
        <v>7</v>
      </c>
      <c r="H903" s="5" t="s">
        <v>963</v>
      </c>
      <c r="I903" s="13">
        <v>515763238</v>
      </c>
      <c r="J903" s="10" t="s">
        <v>1886</v>
      </c>
      <c r="K903" t="str">
        <f>LEFT(C903,FIND(" ",C903)-1)&amp;"-"&amp;E903&amp;" "&amp;"Filialina çardırılma"</f>
        <v>Əli-Sumqayit Filialina çardırılma</v>
      </c>
      <c r="L903">
        <f>VLOOKUP(D903,Anbar!$A$2:$B$5,2,FALSE)</f>
        <v>600</v>
      </c>
      <c r="M903">
        <f>VLOOKUP(D903,Anbar!$A$2:$C$5,3,FALSE)</f>
        <v>950</v>
      </c>
      <c r="N903">
        <f t="shared" si="28"/>
        <v>6650</v>
      </c>
      <c r="O903">
        <f t="shared" si="29"/>
        <v>2450</v>
      </c>
      <c r="P903" t="str">
        <f>IF(AND(F903="Nağd",G903&gt;5),M903*0.9,"0%")</f>
        <v>0%</v>
      </c>
      <c r="Q903" s="9">
        <f>IF(F903="Kredit",EOMONTH(B903,0),"")</f>
        <v>46112</v>
      </c>
      <c r="R903" s="17" t="str">
        <f>TEXT(B903,"dddd")</f>
        <v>Friday</v>
      </c>
    </row>
    <row r="904" spans="1:18">
      <c r="A904" s="5" t="s">
        <v>911</v>
      </c>
      <c r="B904" s="8">
        <v>46166</v>
      </c>
      <c r="C904" s="5" t="s">
        <v>967</v>
      </c>
      <c r="D904" s="5" t="s">
        <v>968</v>
      </c>
      <c r="E904" s="5" t="s">
        <v>9</v>
      </c>
      <c r="F904" s="5" t="s">
        <v>4</v>
      </c>
      <c r="G904" s="5">
        <v>10</v>
      </c>
      <c r="H904" s="5" t="s">
        <v>963</v>
      </c>
      <c r="I904" s="13">
        <v>514444584</v>
      </c>
      <c r="J904" s="10" t="s">
        <v>1887</v>
      </c>
      <c r="K904" t="str">
        <f>LEFT(C904,FIND(" ",C904)-1)&amp;"-"&amp;E904&amp;" "&amp;"Filialina çardırılma"</f>
        <v>Aysel-Gence Filialina çardırılma</v>
      </c>
      <c r="L904">
        <f>VLOOKUP(D904,Anbar!$A$2:$B$5,2,FALSE)</f>
        <v>400</v>
      </c>
      <c r="M904">
        <f>VLOOKUP(D904,Anbar!$A$2:$C$5,3,FALSE)</f>
        <v>650</v>
      </c>
      <c r="N904">
        <f t="shared" si="28"/>
        <v>6500</v>
      </c>
      <c r="O904">
        <f t="shared" si="29"/>
        <v>2500</v>
      </c>
      <c r="P904" t="str">
        <f>IF(AND(F904="Nağd",G904&gt;5),M904*0.9,"0%")</f>
        <v>0%</v>
      </c>
      <c r="Q904" s="9">
        <f>IF(F904="Kredit",EOMONTH(B904,0),"")</f>
        <v>46173</v>
      </c>
      <c r="R904" s="17" t="str">
        <f>TEXT(B904,"dddd")</f>
        <v>Sunday</v>
      </c>
    </row>
    <row r="905" spans="1:18">
      <c r="A905" s="5" t="s">
        <v>912</v>
      </c>
      <c r="B905" s="8">
        <v>46127</v>
      </c>
      <c r="C905" s="5" t="s">
        <v>979</v>
      </c>
      <c r="D905" s="5" t="s">
        <v>971</v>
      </c>
      <c r="E905" s="5" t="s">
        <v>982</v>
      </c>
      <c r="F905" s="5" t="s">
        <v>965</v>
      </c>
      <c r="G905" s="5">
        <v>4</v>
      </c>
      <c r="H905" s="5" t="s">
        <v>963</v>
      </c>
      <c r="I905" s="13">
        <v>702656575</v>
      </c>
      <c r="J905" s="10" t="s">
        <v>1888</v>
      </c>
      <c r="K905" t="str">
        <f>LEFT(C905,FIND(" ",C905)-1)&amp;"-"&amp;E905&amp;" "&amp;"Filialina çardırılma"</f>
        <v>Leyla-Baki Filialina çardırılma</v>
      </c>
      <c r="L905">
        <f>VLOOKUP(D905,Anbar!$A$2:$B$5,2,FALSE)</f>
        <v>1200</v>
      </c>
      <c r="M905">
        <f>VLOOKUP(D905,Anbar!$A$2:$C$5,3,FALSE)</f>
        <v>1800</v>
      </c>
      <c r="N905">
        <f t="shared" si="28"/>
        <v>7200</v>
      </c>
      <c r="O905">
        <f t="shared" si="29"/>
        <v>2400</v>
      </c>
      <c r="P905" t="str">
        <f>IF(AND(F905="Nağd",G905&gt;5),M905*0.9,"0%")</f>
        <v>0%</v>
      </c>
      <c r="Q905" s="9" t="str">
        <f>IF(F905="Kredit",EOMONTH(B905,0),"")</f>
        <v/>
      </c>
      <c r="R905" s="17" t="str">
        <f>TEXT(B905,"dddd")</f>
        <v>Wednesday</v>
      </c>
    </row>
    <row r="906" spans="1:18">
      <c r="A906" s="5" t="s">
        <v>913</v>
      </c>
      <c r="B906" s="8">
        <v>46115</v>
      </c>
      <c r="C906" s="5" t="s">
        <v>979</v>
      </c>
      <c r="D906" s="5" t="s">
        <v>20</v>
      </c>
      <c r="E906" s="5" t="s">
        <v>9</v>
      </c>
      <c r="F906" s="5" t="s">
        <v>4</v>
      </c>
      <c r="G906" s="5">
        <v>2</v>
      </c>
      <c r="H906" s="5" t="s">
        <v>963</v>
      </c>
      <c r="I906" s="13">
        <v>501679499</v>
      </c>
      <c r="J906" s="10" t="s">
        <v>1889</v>
      </c>
      <c r="K906" t="str">
        <f>LEFT(C906,FIND(" ",C906)-1)&amp;"-"&amp;E906&amp;" "&amp;"Filialina çardırılma"</f>
        <v>Leyla-Gence Filialina çardırılma</v>
      </c>
      <c r="L906">
        <f>VLOOKUP(D906,Anbar!$A$2:$B$5,2,FALSE)</f>
        <v>15</v>
      </c>
      <c r="M906">
        <f>VLOOKUP(D906,Anbar!$A$2:$C$5,3,FALSE)</f>
        <v>45</v>
      </c>
      <c r="N906">
        <f t="shared" si="28"/>
        <v>90</v>
      </c>
      <c r="O906">
        <f t="shared" si="29"/>
        <v>60</v>
      </c>
      <c r="P906" t="str">
        <f>IF(AND(F906="Nağd",G906&gt;5),M906*0.9,"0%")</f>
        <v>0%</v>
      </c>
      <c r="Q906" s="9">
        <f>IF(F906="Kredit",EOMONTH(B906,0),"")</f>
        <v>46142</v>
      </c>
      <c r="R906" s="17" t="str">
        <f>TEXT(B906,"dddd")</f>
        <v>Friday</v>
      </c>
    </row>
    <row r="907" spans="1:18">
      <c r="A907" s="5" t="s">
        <v>914</v>
      </c>
      <c r="B907" s="8">
        <v>46102</v>
      </c>
      <c r="C907" s="5" t="s">
        <v>967</v>
      </c>
      <c r="D907" s="5" t="s">
        <v>15</v>
      </c>
      <c r="E907" s="5" t="s">
        <v>982</v>
      </c>
      <c r="F907" s="5" t="s">
        <v>7</v>
      </c>
      <c r="G907" s="5">
        <v>6</v>
      </c>
      <c r="H907" s="5" t="s">
        <v>963</v>
      </c>
      <c r="I907" s="13">
        <v>551411119</v>
      </c>
      <c r="J907" s="10" t="s">
        <v>1890</v>
      </c>
      <c r="K907" t="str">
        <f>LEFT(C907,FIND(" ",C907)-1)&amp;"-"&amp;E907&amp;" "&amp;"Filialina çardırılma"</f>
        <v>Aysel-Baki Filialina çardırılma</v>
      </c>
      <c r="L907">
        <f>VLOOKUP(D907,Anbar!$A$2:$B$5,2,FALSE)</f>
        <v>600</v>
      </c>
      <c r="M907">
        <f>VLOOKUP(D907,Anbar!$A$2:$C$5,3,FALSE)</f>
        <v>950</v>
      </c>
      <c r="N907">
        <f t="shared" si="28"/>
        <v>5700</v>
      </c>
      <c r="O907">
        <f t="shared" si="29"/>
        <v>2100</v>
      </c>
      <c r="P907" t="str">
        <f>IF(AND(F907="Nağd",G907&gt;5),M907*0.9,"0%")</f>
        <v>0%</v>
      </c>
      <c r="Q907" s="9" t="str">
        <f>IF(F907="Kredit",EOMONTH(B907,0),"")</f>
        <v/>
      </c>
      <c r="R907" s="17" t="str">
        <f>TEXT(B907,"dddd")</f>
        <v>Saturday</v>
      </c>
    </row>
    <row r="908" spans="1:18">
      <c r="A908" s="5" t="s">
        <v>915</v>
      </c>
      <c r="B908" s="8">
        <v>46056</v>
      </c>
      <c r="C908" s="5" t="s">
        <v>974</v>
      </c>
      <c r="D908" s="5" t="s">
        <v>15</v>
      </c>
      <c r="E908" s="5" t="s">
        <v>964</v>
      </c>
      <c r="F908" s="5" t="s">
        <v>4</v>
      </c>
      <c r="G908" s="5">
        <v>1</v>
      </c>
      <c r="H908" s="5" t="s">
        <v>963</v>
      </c>
      <c r="I908" s="13">
        <v>502322017</v>
      </c>
      <c r="J908" s="10" t="s">
        <v>1891</v>
      </c>
      <c r="K908" t="str">
        <f>LEFT(C908,FIND(" ",C908)-1)&amp;"-"&amp;E908&amp;" "&amp;"Filialina çardırılma"</f>
        <v>Ramil-Sumqayıt Filialina çardırılma</v>
      </c>
      <c r="L908">
        <f>VLOOKUP(D908,Anbar!$A$2:$B$5,2,FALSE)</f>
        <v>600</v>
      </c>
      <c r="M908">
        <f>VLOOKUP(D908,Anbar!$A$2:$C$5,3,FALSE)</f>
        <v>950</v>
      </c>
      <c r="N908">
        <f t="shared" si="28"/>
        <v>950</v>
      </c>
      <c r="O908">
        <f t="shared" si="29"/>
        <v>350</v>
      </c>
      <c r="P908" t="str">
        <f>IF(AND(F908="Nağd",G908&gt;5),M908*0.9,"0%")</f>
        <v>0%</v>
      </c>
      <c r="Q908" s="9">
        <f>IF(F908="Kredit",EOMONTH(B908,0),"")</f>
        <v>46081</v>
      </c>
      <c r="R908" s="17" t="str">
        <f>TEXT(B908,"dddd")</f>
        <v>Tuesday</v>
      </c>
    </row>
    <row r="909" spans="1:18">
      <c r="A909" s="5" t="s">
        <v>916</v>
      </c>
      <c r="B909" s="8">
        <v>46048</v>
      </c>
      <c r="C909" s="5" t="s">
        <v>976</v>
      </c>
      <c r="D909" s="5" t="s">
        <v>15</v>
      </c>
      <c r="E909" s="5" t="s">
        <v>964</v>
      </c>
      <c r="F909" s="5" t="s">
        <v>965</v>
      </c>
      <c r="G909" s="5">
        <v>2</v>
      </c>
      <c r="H909" s="5" t="s">
        <v>963</v>
      </c>
      <c r="I909" s="13">
        <v>502187169</v>
      </c>
      <c r="J909" s="10" t="s">
        <v>1892</v>
      </c>
      <c r="K909" t="str">
        <f>LEFT(C909,FIND(" ",C909)-1)&amp;"-"&amp;E909&amp;" "&amp;"Filialina çardırılma"</f>
        <v>Nərgin-Sumqayıt Filialina çardırılma</v>
      </c>
      <c r="L909">
        <f>VLOOKUP(D909,Anbar!$A$2:$B$5,2,FALSE)</f>
        <v>600</v>
      </c>
      <c r="M909">
        <f>VLOOKUP(D909,Anbar!$A$2:$C$5,3,FALSE)</f>
        <v>950</v>
      </c>
      <c r="N909">
        <f t="shared" si="28"/>
        <v>1900</v>
      </c>
      <c r="O909">
        <f t="shared" si="29"/>
        <v>700</v>
      </c>
      <c r="P909" t="str">
        <f>IF(AND(F909="Nağd",G909&gt;5),M909*0.9,"0%")</f>
        <v>0%</v>
      </c>
      <c r="Q909" s="9" t="str">
        <f>IF(F909="Kredit",EOMONTH(B909,0),"")</f>
        <v/>
      </c>
      <c r="R909" s="17" t="str">
        <f>TEXT(B909,"dddd")</f>
        <v>Monday</v>
      </c>
    </row>
    <row r="910" spans="1:18">
      <c r="A910" s="5" t="s">
        <v>917</v>
      </c>
      <c r="B910" s="8">
        <v>46146</v>
      </c>
      <c r="C910" s="5" t="s">
        <v>6</v>
      </c>
      <c r="D910" s="5" t="s">
        <v>968</v>
      </c>
      <c r="E910" s="5" t="s">
        <v>9</v>
      </c>
      <c r="F910" s="5" t="s">
        <v>965</v>
      </c>
      <c r="G910" s="5">
        <v>10</v>
      </c>
      <c r="H910" s="5" t="s">
        <v>963</v>
      </c>
      <c r="I910" s="13">
        <v>776653954</v>
      </c>
      <c r="J910" s="10" t="s">
        <v>1893</v>
      </c>
      <c r="K910" t="str">
        <f>LEFT(C910,FIND(" ",C910)-1)&amp;"-"&amp;E910&amp;" "&amp;"Filialina çardırılma"</f>
        <v>Zaur-Gence Filialina çardırılma</v>
      </c>
      <c r="L910">
        <f>VLOOKUP(D910,Anbar!$A$2:$B$5,2,FALSE)</f>
        <v>400</v>
      </c>
      <c r="M910">
        <f>VLOOKUP(D910,Anbar!$A$2:$C$5,3,FALSE)</f>
        <v>650</v>
      </c>
      <c r="N910">
        <f t="shared" si="28"/>
        <v>6500</v>
      </c>
      <c r="O910">
        <f t="shared" si="29"/>
        <v>2500</v>
      </c>
      <c r="P910">
        <f>IF(AND(F910="Nağd",G910&gt;5),M910*0.9,"0%")</f>
        <v>585</v>
      </c>
      <c r="Q910" s="9" t="str">
        <f>IF(F910="Kredit",EOMONTH(B910,0),"")</f>
        <v/>
      </c>
      <c r="R910" s="17" t="str">
        <f>TEXT(B910,"dddd")</f>
        <v>Monday</v>
      </c>
    </row>
    <row r="911" spans="1:18">
      <c r="A911" s="5" t="s">
        <v>918</v>
      </c>
      <c r="B911" s="8">
        <v>46039</v>
      </c>
      <c r="C911" s="5" t="s">
        <v>6</v>
      </c>
      <c r="D911" s="5" t="s">
        <v>968</v>
      </c>
      <c r="E911" s="5" t="s">
        <v>983</v>
      </c>
      <c r="F911" s="5" t="s">
        <v>965</v>
      </c>
      <c r="G911" s="5">
        <v>3</v>
      </c>
      <c r="H911" s="5" t="s">
        <v>963</v>
      </c>
      <c r="I911" s="13">
        <v>704811034</v>
      </c>
      <c r="J911" s="10" t="s">
        <v>1894</v>
      </c>
      <c r="K911" t="str">
        <f>LEFT(C911,FIND(" ",C911)-1)&amp;"-"&amp;E911&amp;" "&amp;"Filialina çardırılma"</f>
        <v>Zaur-Naməlum Filialina çardırılma</v>
      </c>
      <c r="L911">
        <f>VLOOKUP(D911,Anbar!$A$2:$B$5,2,FALSE)</f>
        <v>400</v>
      </c>
      <c r="M911">
        <f>VLOOKUP(D911,Anbar!$A$2:$C$5,3,FALSE)</f>
        <v>650</v>
      </c>
      <c r="N911">
        <f t="shared" si="28"/>
        <v>1950</v>
      </c>
      <c r="O911">
        <f t="shared" si="29"/>
        <v>750</v>
      </c>
      <c r="P911" t="str">
        <f>IF(AND(F911="Nağd",G911&gt;5),M911*0.9,"0%")</f>
        <v>0%</v>
      </c>
      <c r="Q911" s="9" t="str">
        <f>IF(F911="Kredit",EOMONTH(B911,0),"")</f>
        <v/>
      </c>
      <c r="R911" s="17" t="str">
        <f>TEXT(B911,"dddd")</f>
        <v>Saturday</v>
      </c>
    </row>
    <row r="912" spans="1:18">
      <c r="A912" s="5" t="s">
        <v>919</v>
      </c>
      <c r="B912" s="8">
        <v>46111</v>
      </c>
      <c r="C912" s="5" t="s">
        <v>6</v>
      </c>
      <c r="D912" s="5" t="s">
        <v>20</v>
      </c>
      <c r="E912" s="5" t="s">
        <v>966</v>
      </c>
      <c r="F912" s="5" t="s">
        <v>965</v>
      </c>
      <c r="G912" s="5">
        <v>1</v>
      </c>
      <c r="H912" s="5" t="s">
        <v>963</v>
      </c>
      <c r="I912" s="13">
        <v>507539423</v>
      </c>
      <c r="J912" s="10" t="s">
        <v>1895</v>
      </c>
      <c r="K912" t="str">
        <f>LEFT(C912,FIND(" ",C912)-1)&amp;"-"&amp;E912&amp;" "&amp;"Filialina çardırılma"</f>
        <v>Zaur-Bakı Filialina çardırılma</v>
      </c>
      <c r="L912">
        <f>VLOOKUP(D912,Anbar!$A$2:$B$5,2,FALSE)</f>
        <v>15</v>
      </c>
      <c r="M912">
        <f>VLOOKUP(D912,Anbar!$A$2:$C$5,3,FALSE)</f>
        <v>45</v>
      </c>
      <c r="N912">
        <f t="shared" si="28"/>
        <v>45</v>
      </c>
      <c r="O912">
        <f t="shared" si="29"/>
        <v>30</v>
      </c>
      <c r="P912" t="str">
        <f>IF(AND(F912="Nağd",G912&gt;5),M912*0.9,"0%")</f>
        <v>0%</v>
      </c>
      <c r="Q912" s="9" t="str">
        <f>IF(F912="Kredit",EOMONTH(B912,0),"")</f>
        <v/>
      </c>
      <c r="R912" s="17" t="str">
        <f>TEXT(B912,"dddd")</f>
        <v>Monday</v>
      </c>
    </row>
    <row r="913" spans="1:18">
      <c r="A913" s="5" t="s">
        <v>920</v>
      </c>
      <c r="B913" s="8">
        <v>46071</v>
      </c>
      <c r="C913" s="5" t="s">
        <v>978</v>
      </c>
      <c r="D913" s="5" t="s">
        <v>971</v>
      </c>
      <c r="E913" s="5" t="s">
        <v>982</v>
      </c>
      <c r="F913" s="5" t="s">
        <v>4</v>
      </c>
      <c r="G913" s="5">
        <v>10</v>
      </c>
      <c r="H913" s="5" t="s">
        <v>963</v>
      </c>
      <c r="I913" s="13">
        <v>552243510</v>
      </c>
      <c r="J913" s="10" t="s">
        <v>1896</v>
      </c>
      <c r="K913" t="str">
        <f>LEFT(C913,FIND(" ",C913)-1)&amp;"-"&amp;E913&amp;" "&amp;"Filialina çardırılma"</f>
        <v>Əli-Baki Filialina çardırılma</v>
      </c>
      <c r="L913">
        <f>VLOOKUP(D913,Anbar!$A$2:$B$5,2,FALSE)</f>
        <v>1200</v>
      </c>
      <c r="M913">
        <f>VLOOKUP(D913,Anbar!$A$2:$C$5,3,FALSE)</f>
        <v>1800</v>
      </c>
      <c r="N913">
        <f t="shared" si="28"/>
        <v>18000</v>
      </c>
      <c r="O913">
        <f t="shared" si="29"/>
        <v>6000</v>
      </c>
      <c r="P913" t="str">
        <f>IF(AND(F913="Nağd",G913&gt;5),M913*0.9,"0%")</f>
        <v>0%</v>
      </c>
      <c r="Q913" s="9">
        <f>IF(F913="Kredit",EOMONTH(B913,0),"")</f>
        <v>46081</v>
      </c>
      <c r="R913" s="17" t="str">
        <f>TEXT(B913,"dddd")</f>
        <v>Wednesday</v>
      </c>
    </row>
    <row r="914" spans="1:18">
      <c r="A914" s="5" t="s">
        <v>921</v>
      </c>
      <c r="B914" s="8">
        <v>46096</v>
      </c>
      <c r="C914" s="5" t="s">
        <v>979</v>
      </c>
      <c r="D914" s="5" t="s">
        <v>20</v>
      </c>
      <c r="E914" s="5" t="s">
        <v>980</v>
      </c>
      <c r="F914" s="5" t="s">
        <v>965</v>
      </c>
      <c r="G914" s="5">
        <v>6</v>
      </c>
      <c r="H914" s="5" t="s">
        <v>963</v>
      </c>
      <c r="I914" s="13">
        <v>556993509</v>
      </c>
      <c r="J914" s="10" t="s">
        <v>1897</v>
      </c>
      <c r="K914" t="str">
        <f>LEFT(C914,FIND(" ",C914)-1)&amp;"-"&amp;E914&amp;" "&amp;"Filialina çardırılma"</f>
        <v>Leyla-Sumqayit Filialina çardırılma</v>
      </c>
      <c r="L914">
        <f>VLOOKUP(D914,Anbar!$A$2:$B$5,2,FALSE)</f>
        <v>15</v>
      </c>
      <c r="M914">
        <f>VLOOKUP(D914,Anbar!$A$2:$C$5,3,FALSE)</f>
        <v>45</v>
      </c>
      <c r="N914">
        <f t="shared" si="28"/>
        <v>270</v>
      </c>
      <c r="O914">
        <f t="shared" si="29"/>
        <v>180</v>
      </c>
      <c r="P914">
        <f>IF(AND(F914="Nağd",G914&gt;5),M914*0.9,"0%")</f>
        <v>40.5</v>
      </c>
      <c r="Q914" s="9" t="str">
        <f>IF(F914="Kredit",EOMONTH(B914,0),"")</f>
        <v/>
      </c>
      <c r="R914" s="17" t="str">
        <f>TEXT(B914,"dddd")</f>
        <v>Sunday</v>
      </c>
    </row>
    <row r="915" spans="1:18">
      <c r="A915" s="5" t="s">
        <v>922</v>
      </c>
      <c r="B915" s="8">
        <v>46067</v>
      </c>
      <c r="C915" s="5" t="s">
        <v>978</v>
      </c>
      <c r="D915" s="5" t="s">
        <v>971</v>
      </c>
      <c r="E915" s="5" t="s">
        <v>966</v>
      </c>
      <c r="F915" s="5" t="s">
        <v>4</v>
      </c>
      <c r="G915" s="5">
        <v>6</v>
      </c>
      <c r="H915" s="5" t="s">
        <v>963</v>
      </c>
      <c r="I915" s="13">
        <v>504695993</v>
      </c>
      <c r="J915" s="10" t="s">
        <v>1898</v>
      </c>
      <c r="K915" t="str">
        <f>LEFT(C915,FIND(" ",C915)-1)&amp;"-"&amp;E915&amp;" "&amp;"Filialina çardırılma"</f>
        <v>Əli-Bakı Filialina çardırılma</v>
      </c>
      <c r="L915">
        <f>VLOOKUP(D915,Anbar!$A$2:$B$5,2,FALSE)</f>
        <v>1200</v>
      </c>
      <c r="M915">
        <f>VLOOKUP(D915,Anbar!$A$2:$C$5,3,FALSE)</f>
        <v>1800</v>
      </c>
      <c r="N915">
        <f t="shared" si="28"/>
        <v>10800</v>
      </c>
      <c r="O915">
        <f t="shared" si="29"/>
        <v>3600</v>
      </c>
      <c r="P915" t="str">
        <f>IF(AND(F915="Nağd",G915&gt;5),M915*0.9,"0%")</f>
        <v>0%</v>
      </c>
      <c r="Q915" s="9">
        <f>IF(F915="Kredit",EOMONTH(B915,0),"")</f>
        <v>46081</v>
      </c>
      <c r="R915" s="17" t="str">
        <f>TEXT(B915,"dddd")</f>
        <v>Saturday</v>
      </c>
    </row>
    <row r="916" spans="1:18">
      <c r="A916" s="5" t="s">
        <v>923</v>
      </c>
      <c r="B916" s="8">
        <v>46124</v>
      </c>
      <c r="C916" s="5" t="s">
        <v>6</v>
      </c>
      <c r="D916" s="5" t="s">
        <v>971</v>
      </c>
      <c r="E916" s="5" t="s">
        <v>980</v>
      </c>
      <c r="F916" s="5" t="s">
        <v>4</v>
      </c>
      <c r="G916" s="5">
        <v>4</v>
      </c>
      <c r="H916" s="5" t="s">
        <v>963</v>
      </c>
      <c r="I916" s="13">
        <v>702201283</v>
      </c>
      <c r="J916" s="10" t="s">
        <v>1899</v>
      </c>
      <c r="K916" t="str">
        <f>LEFT(C916,FIND(" ",C916)-1)&amp;"-"&amp;E916&amp;" "&amp;"Filialina çardırılma"</f>
        <v>Zaur-Sumqayit Filialina çardırılma</v>
      </c>
      <c r="L916">
        <f>VLOOKUP(D916,Anbar!$A$2:$B$5,2,FALSE)</f>
        <v>1200</v>
      </c>
      <c r="M916">
        <f>VLOOKUP(D916,Anbar!$A$2:$C$5,3,FALSE)</f>
        <v>1800</v>
      </c>
      <c r="N916">
        <f t="shared" si="28"/>
        <v>7200</v>
      </c>
      <c r="O916">
        <f t="shared" si="29"/>
        <v>2400</v>
      </c>
      <c r="P916" t="str">
        <f>IF(AND(F916="Nağd",G916&gt;5),M916*0.9,"0%")</f>
        <v>0%</v>
      </c>
      <c r="Q916" s="9">
        <f>IF(F916="Kredit",EOMONTH(B916,0),"")</f>
        <v>46142</v>
      </c>
      <c r="R916" s="17" t="str">
        <f>TEXT(B916,"dddd")</f>
        <v>Sunday</v>
      </c>
    </row>
    <row r="917" spans="1:18">
      <c r="A917" s="5" t="s">
        <v>924</v>
      </c>
      <c r="B917" s="8">
        <v>46145</v>
      </c>
      <c r="C917" s="5" t="s">
        <v>967</v>
      </c>
      <c r="D917" s="5" t="s">
        <v>15</v>
      </c>
      <c r="E917" s="5" t="s">
        <v>964</v>
      </c>
      <c r="F917" s="5" t="s">
        <v>7</v>
      </c>
      <c r="G917" s="5">
        <v>4</v>
      </c>
      <c r="H917" s="5" t="s">
        <v>963</v>
      </c>
      <c r="I917" s="13">
        <v>514938285</v>
      </c>
      <c r="J917" s="10" t="s">
        <v>1900</v>
      </c>
      <c r="K917" t="str">
        <f>LEFT(C917,FIND(" ",C917)-1)&amp;"-"&amp;E917&amp;" "&amp;"Filialina çardırılma"</f>
        <v>Aysel-Sumqayıt Filialina çardırılma</v>
      </c>
      <c r="L917">
        <f>VLOOKUP(D917,Anbar!$A$2:$B$5,2,FALSE)</f>
        <v>600</v>
      </c>
      <c r="M917">
        <f>VLOOKUP(D917,Anbar!$A$2:$C$5,3,FALSE)</f>
        <v>950</v>
      </c>
      <c r="N917">
        <f t="shared" si="28"/>
        <v>3800</v>
      </c>
      <c r="O917">
        <f t="shared" si="29"/>
        <v>1400</v>
      </c>
      <c r="P917" t="str">
        <f>IF(AND(F917="Nağd",G917&gt;5),M917*0.9,"0%")</f>
        <v>0%</v>
      </c>
      <c r="Q917" s="9" t="str">
        <f>IF(F917="Kredit",EOMONTH(B917,0),"")</f>
        <v/>
      </c>
      <c r="R917" s="17" t="str">
        <f>TEXT(B917,"dddd")</f>
        <v>Sunday</v>
      </c>
    </row>
    <row r="918" spans="1:18">
      <c r="A918" s="5" t="s">
        <v>925</v>
      </c>
      <c r="B918" s="8">
        <v>46114</v>
      </c>
      <c r="C918" s="5" t="s">
        <v>974</v>
      </c>
      <c r="D918" s="5" t="s">
        <v>15</v>
      </c>
      <c r="E918" s="5" t="s">
        <v>981</v>
      </c>
      <c r="F918" s="5" t="s">
        <v>4</v>
      </c>
      <c r="G918" s="5">
        <v>4</v>
      </c>
      <c r="H918" s="5" t="s">
        <v>963</v>
      </c>
      <c r="I918" s="13">
        <v>518403973</v>
      </c>
      <c r="J918" s="10" t="s">
        <v>1901</v>
      </c>
      <c r="K918" t="str">
        <f>LEFT(C918,FIND(" ",C918)-1)&amp;"-"&amp;E918&amp;" "&amp;"Filialina çardırılma"</f>
        <v>Ramil-Gəncə Filialina çardırılma</v>
      </c>
      <c r="L918">
        <f>VLOOKUP(D918,Anbar!$A$2:$B$5,2,FALSE)</f>
        <v>600</v>
      </c>
      <c r="M918">
        <f>VLOOKUP(D918,Anbar!$A$2:$C$5,3,FALSE)</f>
        <v>950</v>
      </c>
      <c r="N918">
        <f t="shared" si="28"/>
        <v>3800</v>
      </c>
      <c r="O918">
        <f t="shared" si="29"/>
        <v>1400</v>
      </c>
      <c r="P918" t="str">
        <f>IF(AND(F918="Nağd",G918&gt;5),M918*0.9,"0%")</f>
        <v>0%</v>
      </c>
      <c r="Q918" s="9">
        <f>IF(F918="Kredit",EOMONTH(B918,0),"")</f>
        <v>46142</v>
      </c>
      <c r="R918" s="17" t="str">
        <f>TEXT(B918,"dddd")</f>
        <v>Thursday</v>
      </c>
    </row>
    <row r="919" spans="1:18">
      <c r="A919" s="5" t="s">
        <v>926</v>
      </c>
      <c r="B919" s="8">
        <v>46090</v>
      </c>
      <c r="C919" s="5" t="s">
        <v>979</v>
      </c>
      <c r="D919" s="5" t="s">
        <v>20</v>
      </c>
      <c r="E919" s="5" t="s">
        <v>980</v>
      </c>
      <c r="F919" s="5" t="s">
        <v>7</v>
      </c>
      <c r="G919" s="5">
        <v>10</v>
      </c>
      <c r="H919" s="5" t="s">
        <v>963</v>
      </c>
      <c r="I919" s="13">
        <v>504111948</v>
      </c>
      <c r="J919" s="10" t="s">
        <v>1902</v>
      </c>
      <c r="K919" t="str">
        <f>LEFT(C919,FIND(" ",C919)-1)&amp;"-"&amp;E919&amp;" "&amp;"Filialina çardırılma"</f>
        <v>Leyla-Sumqayit Filialina çardırılma</v>
      </c>
      <c r="L919">
        <f>VLOOKUP(D919,Anbar!$A$2:$B$5,2,FALSE)</f>
        <v>15</v>
      </c>
      <c r="M919">
        <f>VLOOKUP(D919,Anbar!$A$2:$C$5,3,FALSE)</f>
        <v>45</v>
      </c>
      <c r="N919">
        <f t="shared" si="28"/>
        <v>450</v>
      </c>
      <c r="O919">
        <f t="shared" si="29"/>
        <v>300</v>
      </c>
      <c r="P919" t="str">
        <f>IF(AND(F919="Nağd",G919&gt;5),M919*0.9,"0%")</f>
        <v>0%</v>
      </c>
      <c r="Q919" s="9" t="str">
        <f>IF(F919="Kredit",EOMONTH(B919,0),"")</f>
        <v/>
      </c>
      <c r="R919" s="17" t="str">
        <f>TEXT(B919,"dddd")</f>
        <v>Monday</v>
      </c>
    </row>
    <row r="920" spans="1:18">
      <c r="A920" s="5" t="s">
        <v>927</v>
      </c>
      <c r="B920" s="8">
        <v>46169</v>
      </c>
      <c r="C920" s="5" t="s">
        <v>979</v>
      </c>
      <c r="D920" s="5" t="s">
        <v>971</v>
      </c>
      <c r="E920" s="5" t="s">
        <v>966</v>
      </c>
      <c r="F920" s="5" t="s">
        <v>965</v>
      </c>
      <c r="G920" s="5">
        <v>1</v>
      </c>
      <c r="H920" s="5" t="s">
        <v>963</v>
      </c>
      <c r="I920" s="13">
        <v>551901174</v>
      </c>
      <c r="J920" s="10" t="s">
        <v>1903</v>
      </c>
      <c r="K920" t="str">
        <f>LEFT(C920,FIND(" ",C920)-1)&amp;"-"&amp;E920&amp;" "&amp;"Filialina çardırılma"</f>
        <v>Leyla-Bakı Filialina çardırılma</v>
      </c>
      <c r="L920">
        <f>VLOOKUP(D920,Anbar!$A$2:$B$5,2,FALSE)</f>
        <v>1200</v>
      </c>
      <c r="M920">
        <f>VLOOKUP(D920,Anbar!$A$2:$C$5,3,FALSE)</f>
        <v>1800</v>
      </c>
      <c r="N920">
        <f t="shared" si="28"/>
        <v>1800</v>
      </c>
      <c r="O920">
        <f t="shared" si="29"/>
        <v>600</v>
      </c>
      <c r="P920" t="str">
        <f>IF(AND(F920="Nağd",G920&gt;5),M920*0.9,"0%")</f>
        <v>0%</v>
      </c>
      <c r="Q920" s="9" t="str">
        <f>IF(F920="Kredit",EOMONTH(B920,0),"")</f>
        <v/>
      </c>
      <c r="R920" s="17" t="str">
        <f>TEXT(B920,"dddd")</f>
        <v>Wednesday</v>
      </c>
    </row>
    <row r="921" spans="1:18">
      <c r="A921" s="5" t="s">
        <v>928</v>
      </c>
      <c r="B921" s="8">
        <v>46146</v>
      </c>
      <c r="C921" s="5" t="s">
        <v>978</v>
      </c>
      <c r="D921" s="5" t="s">
        <v>15</v>
      </c>
      <c r="E921" s="5" t="s">
        <v>966</v>
      </c>
      <c r="F921" s="5" t="s">
        <v>4</v>
      </c>
      <c r="G921" s="5">
        <v>3</v>
      </c>
      <c r="H921" s="5" t="s">
        <v>963</v>
      </c>
      <c r="I921" s="13">
        <v>512249401</v>
      </c>
      <c r="J921" s="10" t="s">
        <v>1904</v>
      </c>
      <c r="K921" t="str">
        <f>LEFT(C921,FIND(" ",C921)-1)&amp;"-"&amp;E921&amp;" "&amp;"Filialina çardırılma"</f>
        <v>Əli-Bakı Filialina çardırılma</v>
      </c>
      <c r="L921">
        <f>VLOOKUP(D921,Anbar!$A$2:$B$5,2,FALSE)</f>
        <v>600</v>
      </c>
      <c r="M921">
        <f>VLOOKUP(D921,Anbar!$A$2:$C$5,3,FALSE)</f>
        <v>950</v>
      </c>
      <c r="N921">
        <f t="shared" si="28"/>
        <v>2850</v>
      </c>
      <c r="O921">
        <f t="shared" si="29"/>
        <v>1050</v>
      </c>
      <c r="P921" t="str">
        <f>IF(AND(F921="Nağd",G921&gt;5),M921*0.9,"0%")</f>
        <v>0%</v>
      </c>
      <c r="Q921" s="9">
        <f>IF(F921="Kredit",EOMONTH(B921,0),"")</f>
        <v>46173</v>
      </c>
      <c r="R921" s="17" t="str">
        <f>TEXT(B921,"dddd")</f>
        <v>Monday</v>
      </c>
    </row>
    <row r="922" spans="1:18">
      <c r="A922" s="5" t="s">
        <v>929</v>
      </c>
      <c r="B922" s="8">
        <v>46068</v>
      </c>
      <c r="C922" s="5" t="s">
        <v>6</v>
      </c>
      <c r="D922" s="5" t="s">
        <v>20</v>
      </c>
      <c r="E922" s="5" t="s">
        <v>982</v>
      </c>
      <c r="F922" s="5" t="s">
        <v>7</v>
      </c>
      <c r="G922" s="5">
        <v>3</v>
      </c>
      <c r="H922" s="5" t="s">
        <v>963</v>
      </c>
      <c r="I922" s="13">
        <v>770710682</v>
      </c>
      <c r="J922" s="10" t="s">
        <v>1905</v>
      </c>
      <c r="K922" t="str">
        <f>LEFT(C922,FIND(" ",C922)-1)&amp;"-"&amp;E922&amp;" "&amp;"Filialina çardırılma"</f>
        <v>Zaur-Baki Filialina çardırılma</v>
      </c>
      <c r="L922">
        <f>VLOOKUP(D922,Anbar!$A$2:$B$5,2,FALSE)</f>
        <v>15</v>
      </c>
      <c r="M922">
        <f>VLOOKUP(D922,Anbar!$A$2:$C$5,3,FALSE)</f>
        <v>45</v>
      </c>
      <c r="N922">
        <f t="shared" si="28"/>
        <v>135</v>
      </c>
      <c r="O922">
        <f t="shared" si="29"/>
        <v>90</v>
      </c>
      <c r="P922" t="str">
        <f>IF(AND(F922="Nağd",G922&gt;5),M922*0.9,"0%")</f>
        <v>0%</v>
      </c>
      <c r="Q922" s="9" t="str">
        <f>IF(F922="Kredit",EOMONTH(B922,0),"")</f>
        <v/>
      </c>
      <c r="R922" s="17" t="str">
        <f>TEXT(B922,"dddd")</f>
        <v>Sunday</v>
      </c>
    </row>
    <row r="923" spans="1:18">
      <c r="A923" s="5" t="s">
        <v>930</v>
      </c>
      <c r="B923" s="8">
        <v>46121</v>
      </c>
      <c r="C923" s="5" t="s">
        <v>967</v>
      </c>
      <c r="D923" s="5" t="s">
        <v>971</v>
      </c>
      <c r="E923" s="5" t="s">
        <v>9</v>
      </c>
      <c r="F923" s="5" t="s">
        <v>7</v>
      </c>
      <c r="G923" s="5">
        <v>4</v>
      </c>
      <c r="H923" s="5" t="s">
        <v>963</v>
      </c>
      <c r="I923" s="13">
        <v>709890920</v>
      </c>
      <c r="J923" s="10" t="s">
        <v>1906</v>
      </c>
      <c r="K923" t="str">
        <f>LEFT(C923,FIND(" ",C923)-1)&amp;"-"&amp;E923&amp;" "&amp;"Filialina çardırılma"</f>
        <v>Aysel-Gence Filialina çardırılma</v>
      </c>
      <c r="L923">
        <f>VLOOKUP(D923,Anbar!$A$2:$B$5,2,FALSE)</f>
        <v>1200</v>
      </c>
      <c r="M923">
        <f>VLOOKUP(D923,Anbar!$A$2:$C$5,3,FALSE)</f>
        <v>1800</v>
      </c>
      <c r="N923">
        <f t="shared" si="28"/>
        <v>7200</v>
      </c>
      <c r="O923">
        <f t="shared" si="29"/>
        <v>2400</v>
      </c>
      <c r="P923" t="str">
        <f>IF(AND(F923="Nağd",G923&gt;5),M923*0.9,"0%")</f>
        <v>0%</v>
      </c>
      <c r="Q923" s="9" t="str">
        <f>IF(F923="Kredit",EOMONTH(B923,0),"")</f>
        <v/>
      </c>
      <c r="R923" s="17" t="str">
        <f>TEXT(B923,"dddd")</f>
        <v>Thursday</v>
      </c>
    </row>
    <row r="924" spans="1:18">
      <c r="A924" s="5" t="s">
        <v>931</v>
      </c>
      <c r="B924" s="8">
        <v>46075</v>
      </c>
      <c r="C924" s="5" t="s">
        <v>976</v>
      </c>
      <c r="D924" s="5" t="s">
        <v>971</v>
      </c>
      <c r="E924" s="5" t="s">
        <v>982</v>
      </c>
      <c r="F924" s="5" t="s">
        <v>7</v>
      </c>
      <c r="G924" s="5">
        <v>10</v>
      </c>
      <c r="H924" s="5" t="s">
        <v>963</v>
      </c>
      <c r="I924" s="13">
        <v>501213456</v>
      </c>
      <c r="J924" s="10" t="s">
        <v>1907</v>
      </c>
      <c r="K924" t="str">
        <f>LEFT(C924,FIND(" ",C924)-1)&amp;"-"&amp;E924&amp;" "&amp;"Filialina çardırılma"</f>
        <v>Nərgin-Baki Filialina çardırılma</v>
      </c>
      <c r="L924">
        <f>VLOOKUP(D924,Anbar!$A$2:$B$5,2,FALSE)</f>
        <v>1200</v>
      </c>
      <c r="M924">
        <f>VLOOKUP(D924,Anbar!$A$2:$C$5,3,FALSE)</f>
        <v>1800</v>
      </c>
      <c r="N924">
        <f t="shared" si="28"/>
        <v>18000</v>
      </c>
      <c r="O924">
        <f t="shared" si="29"/>
        <v>6000</v>
      </c>
      <c r="P924" t="str">
        <f>IF(AND(F924="Nağd",G924&gt;5),M924*0.9,"0%")</f>
        <v>0%</v>
      </c>
      <c r="Q924" s="9" t="str">
        <f>IF(F924="Kredit",EOMONTH(B924,0),"")</f>
        <v/>
      </c>
      <c r="R924" s="17" t="str">
        <f>TEXT(B924,"dddd")</f>
        <v>Sunday</v>
      </c>
    </row>
    <row r="925" spans="1:18">
      <c r="A925" s="5" t="s">
        <v>932</v>
      </c>
      <c r="B925" s="8">
        <v>46096</v>
      </c>
      <c r="C925" s="5" t="s">
        <v>977</v>
      </c>
      <c r="D925" s="5" t="s">
        <v>20</v>
      </c>
      <c r="E925" s="5" t="s">
        <v>966</v>
      </c>
      <c r="F925" s="5" t="s">
        <v>4</v>
      </c>
      <c r="G925" s="5">
        <v>8</v>
      </c>
      <c r="H925" s="5" t="s">
        <v>963</v>
      </c>
      <c r="I925" s="13">
        <v>778385111</v>
      </c>
      <c r="J925" s="10" t="s">
        <v>1908</v>
      </c>
      <c r="K925" t="str">
        <f>LEFT(C925,FIND(" ",C925)-1)&amp;"-"&amp;E925&amp;" "&amp;"Filialina çardırılma"</f>
        <v>Elnur-Bakı Filialina çardırılma</v>
      </c>
      <c r="L925">
        <f>VLOOKUP(D925,Anbar!$A$2:$B$5,2,FALSE)</f>
        <v>15</v>
      </c>
      <c r="M925">
        <f>VLOOKUP(D925,Anbar!$A$2:$C$5,3,FALSE)</f>
        <v>45</v>
      </c>
      <c r="N925">
        <f t="shared" si="28"/>
        <v>360</v>
      </c>
      <c r="O925">
        <f t="shared" si="29"/>
        <v>240</v>
      </c>
      <c r="P925" t="str">
        <f>IF(AND(F925="Nağd",G925&gt;5),M925*0.9,"0%")</f>
        <v>0%</v>
      </c>
      <c r="Q925" s="9">
        <f>IF(F925="Kredit",EOMONTH(B925,0),"")</f>
        <v>46112</v>
      </c>
      <c r="R925" s="17" t="str">
        <f>TEXT(B925,"dddd")</f>
        <v>Sunday</v>
      </c>
    </row>
    <row r="926" spans="1:18">
      <c r="A926" s="5" t="s">
        <v>933</v>
      </c>
      <c r="B926" s="8">
        <v>46064</v>
      </c>
      <c r="C926" s="5" t="s">
        <v>979</v>
      </c>
      <c r="D926" s="5" t="s">
        <v>20</v>
      </c>
      <c r="E926" s="5" t="s">
        <v>982</v>
      </c>
      <c r="F926" s="5" t="s">
        <v>4</v>
      </c>
      <c r="G926" s="5">
        <v>10</v>
      </c>
      <c r="H926" s="5" t="s">
        <v>963</v>
      </c>
      <c r="I926" s="13">
        <v>504810427</v>
      </c>
      <c r="J926" s="10" t="s">
        <v>1909</v>
      </c>
      <c r="K926" t="str">
        <f>LEFT(C926,FIND(" ",C926)-1)&amp;"-"&amp;E926&amp;" "&amp;"Filialina çardırılma"</f>
        <v>Leyla-Baki Filialina çardırılma</v>
      </c>
      <c r="L926">
        <f>VLOOKUP(D926,Anbar!$A$2:$B$5,2,FALSE)</f>
        <v>15</v>
      </c>
      <c r="M926">
        <f>VLOOKUP(D926,Anbar!$A$2:$C$5,3,FALSE)</f>
        <v>45</v>
      </c>
      <c r="N926">
        <f t="shared" si="28"/>
        <v>450</v>
      </c>
      <c r="O926">
        <f t="shared" si="29"/>
        <v>300</v>
      </c>
      <c r="P926" t="str">
        <f>IF(AND(F926="Nağd",G926&gt;5),M926*0.9,"0%")</f>
        <v>0%</v>
      </c>
      <c r="Q926" s="9">
        <f>IF(F926="Kredit",EOMONTH(B926,0),"")</f>
        <v>46081</v>
      </c>
      <c r="R926" s="17" t="str">
        <f>TEXT(B926,"dddd")</f>
        <v>Wednesday</v>
      </c>
    </row>
    <row r="927" spans="1:18">
      <c r="A927" s="5" t="s">
        <v>934</v>
      </c>
      <c r="B927" s="8">
        <v>46058</v>
      </c>
      <c r="C927" s="5" t="s">
        <v>978</v>
      </c>
      <c r="D927" s="5" t="s">
        <v>15</v>
      </c>
      <c r="E927" s="5" t="s">
        <v>982</v>
      </c>
      <c r="F927" s="5" t="s">
        <v>4</v>
      </c>
      <c r="G927" s="5">
        <v>1</v>
      </c>
      <c r="H927" s="5" t="s">
        <v>963</v>
      </c>
      <c r="I927" s="13">
        <v>515741023</v>
      </c>
      <c r="J927" s="10" t="s">
        <v>1910</v>
      </c>
      <c r="K927" t="str">
        <f>LEFT(C927,FIND(" ",C927)-1)&amp;"-"&amp;E927&amp;" "&amp;"Filialina çardırılma"</f>
        <v>Əli-Baki Filialina çardırılma</v>
      </c>
      <c r="L927">
        <f>VLOOKUP(D927,Anbar!$A$2:$B$5,2,FALSE)</f>
        <v>600</v>
      </c>
      <c r="M927">
        <f>VLOOKUP(D927,Anbar!$A$2:$C$5,3,FALSE)</f>
        <v>950</v>
      </c>
      <c r="N927">
        <f t="shared" si="28"/>
        <v>950</v>
      </c>
      <c r="O927">
        <f t="shared" si="29"/>
        <v>350</v>
      </c>
      <c r="P927" t="str">
        <f>IF(AND(F927="Nağd",G927&gt;5),M927*0.9,"0%")</f>
        <v>0%</v>
      </c>
      <c r="Q927" s="9">
        <f>IF(F927="Kredit",EOMONTH(B927,0),"")</f>
        <v>46081</v>
      </c>
      <c r="R927" s="17" t="str">
        <f>TEXT(B927,"dddd")</f>
        <v>Thursday</v>
      </c>
    </row>
    <row r="928" spans="1:18">
      <c r="A928" s="5" t="s">
        <v>935</v>
      </c>
      <c r="B928" s="8">
        <v>46098</v>
      </c>
      <c r="C928" s="5" t="s">
        <v>6</v>
      </c>
      <c r="D928" s="5" t="s">
        <v>20</v>
      </c>
      <c r="E928" s="5" t="s">
        <v>981</v>
      </c>
      <c r="F928" s="5" t="s">
        <v>4</v>
      </c>
      <c r="G928" s="5">
        <v>10</v>
      </c>
      <c r="H928" s="5" t="s">
        <v>963</v>
      </c>
      <c r="I928" s="13">
        <v>705249206</v>
      </c>
      <c r="J928" s="10" t="s">
        <v>1911</v>
      </c>
      <c r="K928" t="str">
        <f>LEFT(C928,FIND(" ",C928)-1)&amp;"-"&amp;E928&amp;" "&amp;"Filialina çardırılma"</f>
        <v>Zaur-Gəncə Filialina çardırılma</v>
      </c>
      <c r="L928">
        <f>VLOOKUP(D928,Anbar!$A$2:$B$5,2,FALSE)</f>
        <v>15</v>
      </c>
      <c r="M928">
        <f>VLOOKUP(D928,Anbar!$A$2:$C$5,3,FALSE)</f>
        <v>45</v>
      </c>
      <c r="N928">
        <f t="shared" si="28"/>
        <v>450</v>
      </c>
      <c r="O928">
        <f t="shared" si="29"/>
        <v>300</v>
      </c>
      <c r="P928" t="str">
        <f>IF(AND(F928="Nağd",G928&gt;5),M928*0.9,"0%")</f>
        <v>0%</v>
      </c>
      <c r="Q928" s="9">
        <f>IF(F928="Kredit",EOMONTH(B928,0),"")</f>
        <v>46112</v>
      </c>
      <c r="R928" s="17" t="str">
        <f>TEXT(B928,"dddd")</f>
        <v>Tuesday</v>
      </c>
    </row>
    <row r="929" spans="1:18">
      <c r="A929" s="5" t="s">
        <v>936</v>
      </c>
      <c r="B929" s="8">
        <v>46088</v>
      </c>
      <c r="C929" s="5" t="s">
        <v>979</v>
      </c>
      <c r="D929" s="5" t="s">
        <v>971</v>
      </c>
      <c r="E929" s="5" t="s">
        <v>982</v>
      </c>
      <c r="F929" s="5" t="s">
        <v>4</v>
      </c>
      <c r="G929" s="5">
        <v>10</v>
      </c>
      <c r="H929" s="5" t="s">
        <v>963</v>
      </c>
      <c r="I929" s="13">
        <v>775789719</v>
      </c>
      <c r="J929" s="10" t="s">
        <v>1912</v>
      </c>
      <c r="K929" t="str">
        <f>LEFT(C929,FIND(" ",C929)-1)&amp;"-"&amp;E929&amp;" "&amp;"Filialina çardırılma"</f>
        <v>Leyla-Baki Filialina çardırılma</v>
      </c>
      <c r="L929">
        <f>VLOOKUP(D929,Anbar!$A$2:$B$5,2,FALSE)</f>
        <v>1200</v>
      </c>
      <c r="M929">
        <f>VLOOKUP(D929,Anbar!$A$2:$C$5,3,FALSE)</f>
        <v>1800</v>
      </c>
      <c r="N929">
        <f t="shared" si="28"/>
        <v>18000</v>
      </c>
      <c r="O929">
        <f t="shared" si="29"/>
        <v>6000</v>
      </c>
      <c r="P929" t="str">
        <f>IF(AND(F929="Nağd",G929&gt;5),M929*0.9,"0%")</f>
        <v>0%</v>
      </c>
      <c r="Q929" s="9">
        <f>IF(F929="Kredit",EOMONTH(B929,0),"")</f>
        <v>46112</v>
      </c>
      <c r="R929" s="17" t="str">
        <f>TEXT(B929,"dddd")</f>
        <v>Saturday</v>
      </c>
    </row>
    <row r="930" spans="1:18">
      <c r="A930" s="5" t="s">
        <v>937</v>
      </c>
      <c r="B930" s="8">
        <v>46078</v>
      </c>
      <c r="C930" s="5" t="s">
        <v>975</v>
      </c>
      <c r="D930" s="5" t="s">
        <v>968</v>
      </c>
      <c r="E930" s="5" t="s">
        <v>964</v>
      </c>
      <c r="F930" s="5" t="s">
        <v>965</v>
      </c>
      <c r="G930" s="5">
        <v>4</v>
      </c>
      <c r="H930" s="5" t="s">
        <v>963</v>
      </c>
      <c r="I930" s="13">
        <v>516330069</v>
      </c>
      <c r="J930" s="10" t="s">
        <v>1913</v>
      </c>
      <c r="K930" t="str">
        <f>LEFT(C930,FIND(" ",C930)-1)&amp;"-"&amp;E930&amp;" "&amp;"Filialina çardırılma"</f>
        <v>Murad-Sumqayıt Filialina çardırılma</v>
      </c>
      <c r="L930">
        <f>VLOOKUP(D930,Anbar!$A$2:$B$5,2,FALSE)</f>
        <v>400</v>
      </c>
      <c r="M930">
        <f>VLOOKUP(D930,Anbar!$A$2:$C$5,3,FALSE)</f>
        <v>650</v>
      </c>
      <c r="N930">
        <f t="shared" si="28"/>
        <v>2600</v>
      </c>
      <c r="O930">
        <f t="shared" si="29"/>
        <v>1000</v>
      </c>
      <c r="P930" t="str">
        <f>IF(AND(F930="Nağd",G930&gt;5),M930*0.9,"0%")</f>
        <v>0%</v>
      </c>
      <c r="Q930" s="9" t="str">
        <f>IF(F930="Kredit",EOMONTH(B930,0),"")</f>
        <v/>
      </c>
      <c r="R930" s="17" t="str">
        <f>TEXT(B930,"dddd")</f>
        <v>Wednesday</v>
      </c>
    </row>
    <row r="931" spans="1:18">
      <c r="A931" s="5" t="s">
        <v>938</v>
      </c>
      <c r="B931" s="8">
        <v>46061</v>
      </c>
      <c r="C931" s="5" t="s">
        <v>976</v>
      </c>
      <c r="D931" s="5" t="s">
        <v>971</v>
      </c>
      <c r="E931" s="5" t="s">
        <v>982</v>
      </c>
      <c r="F931" s="5" t="s">
        <v>4</v>
      </c>
      <c r="G931" s="5">
        <v>10</v>
      </c>
      <c r="H931" s="5" t="s">
        <v>963</v>
      </c>
      <c r="I931" s="13">
        <v>510147080</v>
      </c>
      <c r="J931" s="10" t="s">
        <v>1914</v>
      </c>
      <c r="K931" t="str">
        <f>LEFT(C931,FIND(" ",C931)-1)&amp;"-"&amp;E931&amp;" "&amp;"Filialina çardırılma"</f>
        <v>Nərgin-Baki Filialina çardırılma</v>
      </c>
      <c r="L931">
        <f>VLOOKUP(D931,Anbar!$A$2:$B$5,2,FALSE)</f>
        <v>1200</v>
      </c>
      <c r="M931">
        <f>VLOOKUP(D931,Anbar!$A$2:$C$5,3,FALSE)</f>
        <v>1800</v>
      </c>
      <c r="N931">
        <f t="shared" si="28"/>
        <v>18000</v>
      </c>
      <c r="O931">
        <f t="shared" si="29"/>
        <v>6000</v>
      </c>
      <c r="P931" t="str">
        <f>IF(AND(F931="Nağd",G931&gt;5),M931*0.9,"0%")</f>
        <v>0%</v>
      </c>
      <c r="Q931" s="9">
        <f>IF(F931="Kredit",EOMONTH(B931,0),"")</f>
        <v>46081</v>
      </c>
      <c r="R931" s="17" t="str">
        <f>TEXT(B931,"dddd")</f>
        <v>Sunday</v>
      </c>
    </row>
    <row r="932" spans="1:18">
      <c r="A932" s="5" t="s">
        <v>939</v>
      </c>
      <c r="B932" s="8">
        <v>46099</v>
      </c>
      <c r="C932" s="5" t="s">
        <v>975</v>
      </c>
      <c r="D932" s="5" t="s">
        <v>971</v>
      </c>
      <c r="E932" s="5" t="s">
        <v>982</v>
      </c>
      <c r="F932" s="5" t="s">
        <v>4</v>
      </c>
      <c r="G932" s="5">
        <v>6</v>
      </c>
      <c r="H932" s="5" t="s">
        <v>963</v>
      </c>
      <c r="I932" s="13">
        <v>512199502</v>
      </c>
      <c r="J932" s="10" t="s">
        <v>1915</v>
      </c>
      <c r="K932" t="str">
        <f>LEFT(C932,FIND(" ",C932)-1)&amp;"-"&amp;E932&amp;" "&amp;"Filialina çardırılma"</f>
        <v>Murad-Baki Filialina çardırılma</v>
      </c>
      <c r="L932">
        <f>VLOOKUP(D932,Anbar!$A$2:$B$5,2,FALSE)</f>
        <v>1200</v>
      </c>
      <c r="M932">
        <f>VLOOKUP(D932,Anbar!$A$2:$C$5,3,FALSE)</f>
        <v>1800</v>
      </c>
      <c r="N932">
        <f t="shared" si="28"/>
        <v>10800</v>
      </c>
      <c r="O932">
        <f t="shared" si="29"/>
        <v>3600</v>
      </c>
      <c r="P932" t="str">
        <f>IF(AND(F932="Nağd",G932&gt;5),M932*0.9,"0%")</f>
        <v>0%</v>
      </c>
      <c r="Q932" s="9">
        <f>IF(F932="Kredit",EOMONTH(B932,0),"")</f>
        <v>46112</v>
      </c>
      <c r="R932" s="17" t="str">
        <f>TEXT(B932,"dddd")</f>
        <v>Wednesday</v>
      </c>
    </row>
    <row r="933" spans="1:18">
      <c r="A933" s="5" t="s">
        <v>940</v>
      </c>
      <c r="B933" s="8">
        <v>46065</v>
      </c>
      <c r="C933" s="5" t="s">
        <v>6</v>
      </c>
      <c r="D933" s="5" t="s">
        <v>15</v>
      </c>
      <c r="E933" s="5" t="s">
        <v>9</v>
      </c>
      <c r="F933" s="5" t="s">
        <v>965</v>
      </c>
      <c r="G933" s="5">
        <v>5</v>
      </c>
      <c r="H933" s="5" t="s">
        <v>963</v>
      </c>
      <c r="I933" s="13">
        <v>704755824</v>
      </c>
      <c r="J933" s="10" t="s">
        <v>1916</v>
      </c>
      <c r="K933" t="str">
        <f>LEFT(C933,FIND(" ",C933)-1)&amp;"-"&amp;E933&amp;" "&amp;"Filialina çardırılma"</f>
        <v>Zaur-Gence Filialina çardırılma</v>
      </c>
      <c r="L933">
        <f>VLOOKUP(D933,Anbar!$A$2:$B$5,2,FALSE)</f>
        <v>600</v>
      </c>
      <c r="M933">
        <f>VLOOKUP(D933,Anbar!$A$2:$C$5,3,FALSE)</f>
        <v>950</v>
      </c>
      <c r="N933">
        <f t="shared" si="28"/>
        <v>4750</v>
      </c>
      <c r="O933">
        <f t="shared" si="29"/>
        <v>1750</v>
      </c>
      <c r="P933" t="str">
        <f>IF(AND(F933="Nağd",G933&gt;5),M933*0.9,"0%")</f>
        <v>0%</v>
      </c>
      <c r="Q933" s="9" t="str">
        <f>IF(F933="Kredit",EOMONTH(B933,0),"")</f>
        <v/>
      </c>
      <c r="R933" s="17" t="str">
        <f>TEXT(B933,"dddd")</f>
        <v>Thursday</v>
      </c>
    </row>
    <row r="934" spans="1:18">
      <c r="A934" s="5" t="s">
        <v>941</v>
      </c>
      <c r="B934" s="8">
        <v>46175</v>
      </c>
      <c r="C934" s="5" t="s">
        <v>975</v>
      </c>
      <c r="D934" s="5" t="s">
        <v>15</v>
      </c>
      <c r="E934" s="5" t="s">
        <v>964</v>
      </c>
      <c r="F934" s="5" t="s">
        <v>4</v>
      </c>
      <c r="G934" s="5">
        <v>3</v>
      </c>
      <c r="H934" s="5" t="s">
        <v>963</v>
      </c>
      <c r="I934" s="13">
        <v>555441354</v>
      </c>
      <c r="J934" s="10" t="s">
        <v>1917</v>
      </c>
      <c r="K934" t="str">
        <f>LEFT(C934,FIND(" ",C934)-1)&amp;"-"&amp;E934&amp;" "&amp;"Filialina çardırılma"</f>
        <v>Murad-Sumqayıt Filialina çardırılma</v>
      </c>
      <c r="L934">
        <f>VLOOKUP(D934,Anbar!$A$2:$B$5,2,FALSE)</f>
        <v>600</v>
      </c>
      <c r="M934">
        <f>VLOOKUP(D934,Anbar!$A$2:$C$5,3,FALSE)</f>
        <v>950</v>
      </c>
      <c r="N934">
        <f t="shared" si="28"/>
        <v>2850</v>
      </c>
      <c r="O934">
        <f t="shared" si="29"/>
        <v>1050</v>
      </c>
      <c r="P934" t="str">
        <f>IF(AND(F934="Nağd",G934&gt;5),M934*0.9,"0%")</f>
        <v>0%</v>
      </c>
      <c r="Q934" s="9">
        <f>IF(F934="Kredit",EOMONTH(B934,0),"")</f>
        <v>46203</v>
      </c>
      <c r="R934" s="17" t="str">
        <f>TEXT(B934,"dddd")</f>
        <v>Tuesday</v>
      </c>
    </row>
    <row r="935" spans="1:18">
      <c r="A935" s="5" t="s">
        <v>942</v>
      </c>
      <c r="B935" s="8">
        <v>46174</v>
      </c>
      <c r="C935" s="5" t="s">
        <v>6</v>
      </c>
      <c r="D935" s="5" t="s">
        <v>20</v>
      </c>
      <c r="E935" s="5" t="s">
        <v>980</v>
      </c>
      <c r="F935" s="5" t="s">
        <v>4</v>
      </c>
      <c r="G935" s="5">
        <v>2</v>
      </c>
      <c r="H935" s="5" t="s">
        <v>963</v>
      </c>
      <c r="I935" s="13">
        <v>557995746</v>
      </c>
      <c r="J935" s="10" t="s">
        <v>1918</v>
      </c>
      <c r="K935" t="str">
        <f>LEFT(C935,FIND(" ",C935)-1)&amp;"-"&amp;E935&amp;" "&amp;"Filialina çardırılma"</f>
        <v>Zaur-Sumqayit Filialina çardırılma</v>
      </c>
      <c r="L935">
        <f>VLOOKUP(D935,Anbar!$A$2:$B$5,2,FALSE)</f>
        <v>15</v>
      </c>
      <c r="M935">
        <f>VLOOKUP(D935,Anbar!$A$2:$C$5,3,FALSE)</f>
        <v>45</v>
      </c>
      <c r="N935">
        <f t="shared" si="28"/>
        <v>90</v>
      </c>
      <c r="O935">
        <f t="shared" si="29"/>
        <v>60</v>
      </c>
      <c r="P935" t="str">
        <f>IF(AND(F935="Nağd",G935&gt;5),M935*0.9,"0%")</f>
        <v>0%</v>
      </c>
      <c r="Q935" s="9">
        <f>IF(F935="Kredit",EOMONTH(B935,0),"")</f>
        <v>46203</v>
      </c>
      <c r="R935" s="17" t="str">
        <f>TEXT(B935,"dddd")</f>
        <v>Monday</v>
      </c>
    </row>
    <row r="936" spans="1:18">
      <c r="A936" s="5" t="s">
        <v>943</v>
      </c>
      <c r="B936" s="8">
        <v>46067</v>
      </c>
      <c r="C936" s="5" t="s">
        <v>979</v>
      </c>
      <c r="D936" s="5" t="s">
        <v>15</v>
      </c>
      <c r="E936" s="5" t="s">
        <v>980</v>
      </c>
      <c r="F936" s="5" t="s">
        <v>965</v>
      </c>
      <c r="G936" s="5">
        <v>3</v>
      </c>
      <c r="H936" s="5" t="s">
        <v>963</v>
      </c>
      <c r="I936" s="13">
        <v>779634311</v>
      </c>
      <c r="J936" s="10" t="s">
        <v>1919</v>
      </c>
      <c r="K936" t="str">
        <f>LEFT(C936,FIND(" ",C936)-1)&amp;"-"&amp;E936&amp;" "&amp;"Filialina çardırılma"</f>
        <v>Leyla-Sumqayit Filialina çardırılma</v>
      </c>
      <c r="L936">
        <f>VLOOKUP(D936,Anbar!$A$2:$B$5,2,FALSE)</f>
        <v>600</v>
      </c>
      <c r="M936">
        <f>VLOOKUP(D936,Anbar!$A$2:$C$5,3,FALSE)</f>
        <v>950</v>
      </c>
      <c r="N936">
        <f t="shared" si="28"/>
        <v>2850</v>
      </c>
      <c r="O936">
        <f t="shared" si="29"/>
        <v>1050</v>
      </c>
      <c r="P936" t="str">
        <f>IF(AND(F936="Nağd",G936&gt;5),M936*0.9,"0%")</f>
        <v>0%</v>
      </c>
      <c r="Q936" s="9" t="str">
        <f>IF(F936="Kredit",EOMONTH(B936,0),"")</f>
        <v/>
      </c>
      <c r="R936" s="17" t="str">
        <f>TEXT(B936,"dddd")</f>
        <v>Saturday</v>
      </c>
    </row>
    <row r="937" spans="1:18">
      <c r="A937" s="5" t="s">
        <v>944</v>
      </c>
      <c r="B937" s="8">
        <v>46041</v>
      </c>
      <c r="C937" s="5" t="s">
        <v>976</v>
      </c>
      <c r="D937" s="5" t="s">
        <v>971</v>
      </c>
      <c r="E937" s="5" t="s">
        <v>964</v>
      </c>
      <c r="F937" s="5" t="s">
        <v>4</v>
      </c>
      <c r="G937" s="5">
        <v>1</v>
      </c>
      <c r="H937" s="5" t="s">
        <v>963</v>
      </c>
      <c r="I937" s="13">
        <v>506241217</v>
      </c>
      <c r="J937" s="10" t="s">
        <v>1920</v>
      </c>
      <c r="K937" t="str">
        <f>LEFT(C937,FIND(" ",C937)-1)&amp;"-"&amp;E937&amp;" "&amp;"Filialina çardırılma"</f>
        <v>Nərgin-Sumqayıt Filialina çardırılma</v>
      </c>
      <c r="L937">
        <f>VLOOKUP(D937,Anbar!$A$2:$B$5,2,FALSE)</f>
        <v>1200</v>
      </c>
      <c r="M937">
        <f>VLOOKUP(D937,Anbar!$A$2:$C$5,3,FALSE)</f>
        <v>1800</v>
      </c>
      <c r="N937">
        <f t="shared" si="28"/>
        <v>1800</v>
      </c>
      <c r="O937">
        <f t="shared" si="29"/>
        <v>600</v>
      </c>
      <c r="P937" t="str">
        <f>IF(AND(F937="Nağd",G937&gt;5),M937*0.9,"0%")</f>
        <v>0%</v>
      </c>
      <c r="Q937" s="9">
        <f>IF(F937="Kredit",EOMONTH(B937,0),"")</f>
        <v>46053</v>
      </c>
      <c r="R937" s="17" t="str">
        <f>TEXT(B937,"dddd")</f>
        <v>Monday</v>
      </c>
    </row>
    <row r="938" spans="1:18">
      <c r="A938" s="5" t="s">
        <v>945</v>
      </c>
      <c r="B938" s="8">
        <v>46137</v>
      </c>
      <c r="C938" s="5" t="s">
        <v>974</v>
      </c>
      <c r="D938" s="5" t="s">
        <v>968</v>
      </c>
      <c r="E938" s="5" t="s">
        <v>980</v>
      </c>
      <c r="F938" s="5" t="s">
        <v>4</v>
      </c>
      <c r="G938" s="5">
        <v>10</v>
      </c>
      <c r="H938" s="5" t="s">
        <v>963</v>
      </c>
      <c r="I938" s="13">
        <v>704475105</v>
      </c>
      <c r="J938" s="10" t="s">
        <v>1921</v>
      </c>
      <c r="K938" t="str">
        <f>LEFT(C938,FIND(" ",C938)-1)&amp;"-"&amp;E938&amp;" "&amp;"Filialina çardırılma"</f>
        <v>Ramil-Sumqayit Filialina çardırılma</v>
      </c>
      <c r="L938">
        <f>VLOOKUP(D938,Anbar!$A$2:$B$5,2,FALSE)</f>
        <v>400</v>
      </c>
      <c r="M938">
        <f>VLOOKUP(D938,Anbar!$A$2:$C$5,3,FALSE)</f>
        <v>650</v>
      </c>
      <c r="N938">
        <f t="shared" si="28"/>
        <v>6500</v>
      </c>
      <c r="O938">
        <f t="shared" si="29"/>
        <v>2500</v>
      </c>
      <c r="P938" t="str">
        <f>IF(AND(F938="Nağd",G938&gt;5),M938*0.9,"0%")</f>
        <v>0%</v>
      </c>
      <c r="Q938" s="9">
        <f>IF(F938="Kredit",EOMONTH(B938,0),"")</f>
        <v>46142</v>
      </c>
      <c r="R938" s="17" t="str">
        <f>TEXT(B938,"dddd")</f>
        <v>Saturday</v>
      </c>
    </row>
    <row r="939" spans="1:18">
      <c r="A939" s="5" t="s">
        <v>946</v>
      </c>
      <c r="B939" s="8">
        <v>46100</v>
      </c>
      <c r="C939" s="5" t="s">
        <v>979</v>
      </c>
      <c r="D939" s="5" t="s">
        <v>971</v>
      </c>
      <c r="E939" s="5" t="s">
        <v>966</v>
      </c>
      <c r="F939" s="5" t="s">
        <v>4</v>
      </c>
      <c r="G939" s="5">
        <v>6</v>
      </c>
      <c r="H939" s="5" t="s">
        <v>963</v>
      </c>
      <c r="I939" s="13">
        <v>507119165</v>
      </c>
      <c r="J939" s="10" t="s">
        <v>1922</v>
      </c>
      <c r="K939" t="str">
        <f>LEFT(C939,FIND(" ",C939)-1)&amp;"-"&amp;E939&amp;" "&amp;"Filialina çardırılma"</f>
        <v>Leyla-Bakı Filialina çardırılma</v>
      </c>
      <c r="L939">
        <f>VLOOKUP(D939,Anbar!$A$2:$B$5,2,FALSE)</f>
        <v>1200</v>
      </c>
      <c r="M939">
        <f>VLOOKUP(D939,Anbar!$A$2:$C$5,3,FALSE)</f>
        <v>1800</v>
      </c>
      <c r="N939">
        <f t="shared" si="28"/>
        <v>10800</v>
      </c>
      <c r="O939">
        <f t="shared" si="29"/>
        <v>3600</v>
      </c>
      <c r="P939" t="str">
        <f>IF(AND(F939="Nağd",G939&gt;5),M939*0.9,"0%")</f>
        <v>0%</v>
      </c>
      <c r="Q939" s="9">
        <f>IF(F939="Kredit",EOMONTH(B939,0),"")</f>
        <v>46112</v>
      </c>
      <c r="R939" s="17" t="str">
        <f>TEXT(B939,"dddd")</f>
        <v>Thursday</v>
      </c>
    </row>
    <row r="940" spans="1:18">
      <c r="A940" s="5" t="s">
        <v>947</v>
      </c>
      <c r="B940" s="8">
        <v>46046</v>
      </c>
      <c r="C940" s="5" t="s">
        <v>976</v>
      </c>
      <c r="D940" s="5" t="s">
        <v>968</v>
      </c>
      <c r="E940" s="5" t="s">
        <v>9</v>
      </c>
      <c r="F940" s="5" t="s">
        <v>4</v>
      </c>
      <c r="G940" s="5">
        <v>3</v>
      </c>
      <c r="H940" s="5" t="s">
        <v>963</v>
      </c>
      <c r="I940" s="13">
        <v>703201039</v>
      </c>
      <c r="J940" s="10" t="s">
        <v>1923</v>
      </c>
      <c r="K940" t="str">
        <f>LEFT(C940,FIND(" ",C940)-1)&amp;"-"&amp;E940&amp;" "&amp;"Filialina çardırılma"</f>
        <v>Nərgin-Gence Filialina çardırılma</v>
      </c>
      <c r="L940">
        <f>VLOOKUP(D940,Anbar!$A$2:$B$5,2,FALSE)</f>
        <v>400</v>
      </c>
      <c r="M940">
        <f>VLOOKUP(D940,Anbar!$A$2:$C$5,3,FALSE)</f>
        <v>650</v>
      </c>
      <c r="N940">
        <f t="shared" si="28"/>
        <v>1950</v>
      </c>
      <c r="O940">
        <f t="shared" si="29"/>
        <v>750</v>
      </c>
      <c r="P940" t="str">
        <f>IF(AND(F940="Nağd",G940&gt;5),M940*0.9,"0%")</f>
        <v>0%</v>
      </c>
      <c r="Q940" s="9">
        <f>IF(F940="Kredit",EOMONTH(B940,0),"")</f>
        <v>46053</v>
      </c>
      <c r="R940" s="17" t="str">
        <f>TEXT(B940,"dddd")</f>
        <v>Saturday</v>
      </c>
    </row>
    <row r="941" spans="1:18">
      <c r="A941" s="5" t="s">
        <v>948</v>
      </c>
      <c r="B941" s="8">
        <v>46179</v>
      </c>
      <c r="C941" s="5" t="s">
        <v>978</v>
      </c>
      <c r="D941" s="5" t="s">
        <v>15</v>
      </c>
      <c r="E941" s="5" t="s">
        <v>9</v>
      </c>
      <c r="F941" s="5" t="s">
        <v>4</v>
      </c>
      <c r="G941" s="5">
        <v>3</v>
      </c>
      <c r="H941" s="5" t="s">
        <v>963</v>
      </c>
      <c r="I941" s="13">
        <v>702686705</v>
      </c>
      <c r="J941" s="10" t="s">
        <v>1924</v>
      </c>
      <c r="K941" t="str">
        <f>LEFT(C941,FIND(" ",C941)-1)&amp;"-"&amp;E941&amp;" "&amp;"Filialina çardırılma"</f>
        <v>Əli-Gence Filialina çardırılma</v>
      </c>
      <c r="L941">
        <f>VLOOKUP(D941,Anbar!$A$2:$B$5,2,FALSE)</f>
        <v>600</v>
      </c>
      <c r="M941">
        <f>VLOOKUP(D941,Anbar!$A$2:$C$5,3,FALSE)</f>
        <v>950</v>
      </c>
      <c r="N941">
        <f t="shared" si="28"/>
        <v>2850</v>
      </c>
      <c r="O941">
        <f t="shared" si="29"/>
        <v>1050</v>
      </c>
      <c r="P941" t="str">
        <f>IF(AND(F941="Nağd",G941&gt;5),M941*0.9,"0%")</f>
        <v>0%</v>
      </c>
      <c r="Q941" s="9">
        <f>IF(F941="Kredit",EOMONTH(B941,0),"")</f>
        <v>46203</v>
      </c>
      <c r="R941" s="17" t="str">
        <f>TEXT(B941,"dddd")</f>
        <v>Saturday</v>
      </c>
    </row>
    <row r="942" spans="1:18">
      <c r="A942" s="5" t="s">
        <v>949</v>
      </c>
      <c r="B942" s="8">
        <v>46137</v>
      </c>
      <c r="C942" s="5" t="s">
        <v>6</v>
      </c>
      <c r="D942" s="5" t="s">
        <v>20</v>
      </c>
      <c r="E942" s="5" t="s">
        <v>9</v>
      </c>
      <c r="F942" s="5" t="s">
        <v>4</v>
      </c>
      <c r="G942" s="5">
        <v>3</v>
      </c>
      <c r="H942" s="5" t="s">
        <v>963</v>
      </c>
      <c r="I942" s="13">
        <v>707792624</v>
      </c>
      <c r="J942" s="10" t="s">
        <v>1925</v>
      </c>
      <c r="K942" t="str">
        <f>LEFT(C942,FIND(" ",C942)-1)&amp;"-"&amp;E942&amp;" "&amp;"Filialina çardırılma"</f>
        <v>Zaur-Gence Filialina çardırılma</v>
      </c>
      <c r="L942">
        <f>VLOOKUP(D942,Anbar!$A$2:$B$5,2,FALSE)</f>
        <v>15</v>
      </c>
      <c r="M942">
        <f>VLOOKUP(D942,Anbar!$A$2:$C$5,3,FALSE)</f>
        <v>45</v>
      </c>
      <c r="N942">
        <f t="shared" si="28"/>
        <v>135</v>
      </c>
      <c r="O942">
        <f t="shared" si="29"/>
        <v>90</v>
      </c>
      <c r="P942" t="str">
        <f>IF(AND(F942="Nağd",G942&gt;5),M942*0.9,"0%")</f>
        <v>0%</v>
      </c>
      <c r="Q942" s="9">
        <f>IF(F942="Kredit",EOMONTH(B942,0),"")</f>
        <v>46142</v>
      </c>
      <c r="R942" s="17" t="str">
        <f>TEXT(B942,"dddd")</f>
        <v>Saturday</v>
      </c>
    </row>
    <row r="943" spans="1:18">
      <c r="A943" s="5" t="s">
        <v>950</v>
      </c>
      <c r="B943" s="8">
        <v>46179</v>
      </c>
      <c r="C943" s="5" t="s">
        <v>976</v>
      </c>
      <c r="D943" s="5" t="s">
        <v>968</v>
      </c>
      <c r="E943" s="5" t="s">
        <v>9</v>
      </c>
      <c r="F943" s="5" t="s">
        <v>965</v>
      </c>
      <c r="G943" s="5">
        <v>2</v>
      </c>
      <c r="H943" s="5" t="s">
        <v>963</v>
      </c>
      <c r="I943" s="13">
        <v>517477705</v>
      </c>
      <c r="J943" s="10" t="s">
        <v>1926</v>
      </c>
      <c r="K943" t="str">
        <f>LEFT(C943,FIND(" ",C943)-1)&amp;"-"&amp;E943&amp;" "&amp;"Filialina çardırılma"</f>
        <v>Nərgin-Gence Filialina çardırılma</v>
      </c>
      <c r="L943">
        <f>VLOOKUP(D943,Anbar!$A$2:$B$5,2,FALSE)</f>
        <v>400</v>
      </c>
      <c r="M943">
        <f>VLOOKUP(D943,Anbar!$A$2:$C$5,3,FALSE)</f>
        <v>650</v>
      </c>
      <c r="N943">
        <f t="shared" si="28"/>
        <v>1300</v>
      </c>
      <c r="O943">
        <f t="shared" si="29"/>
        <v>500</v>
      </c>
      <c r="P943" t="str">
        <f>IF(AND(F943="Nağd",G943&gt;5),M943*0.9,"0%")</f>
        <v>0%</v>
      </c>
      <c r="Q943" s="9" t="str">
        <f>IF(F943="Kredit",EOMONTH(B943,0),"")</f>
        <v/>
      </c>
      <c r="R943" s="17" t="str">
        <f>TEXT(B943,"dddd")</f>
        <v>Saturday</v>
      </c>
    </row>
    <row r="944" spans="1:18">
      <c r="A944" s="5" t="s">
        <v>951</v>
      </c>
      <c r="B944" s="8">
        <v>46058</v>
      </c>
      <c r="C944" s="5" t="s">
        <v>978</v>
      </c>
      <c r="D944" s="5" t="s">
        <v>971</v>
      </c>
      <c r="E944" s="5" t="s">
        <v>982</v>
      </c>
      <c r="F944" s="5" t="s">
        <v>4</v>
      </c>
      <c r="G944" s="5">
        <v>5</v>
      </c>
      <c r="H944" s="5" t="s">
        <v>963</v>
      </c>
      <c r="I944" s="13">
        <v>554299322</v>
      </c>
      <c r="J944" s="10" t="s">
        <v>1927</v>
      </c>
      <c r="K944" t="str">
        <f>LEFT(C944,FIND(" ",C944)-1)&amp;"-"&amp;E944&amp;" "&amp;"Filialina çardırılma"</f>
        <v>Əli-Baki Filialina çardırılma</v>
      </c>
      <c r="L944">
        <f>VLOOKUP(D944,Anbar!$A$2:$B$5,2,FALSE)</f>
        <v>1200</v>
      </c>
      <c r="M944">
        <f>VLOOKUP(D944,Anbar!$A$2:$C$5,3,FALSE)</f>
        <v>1800</v>
      </c>
      <c r="N944">
        <f t="shared" si="28"/>
        <v>9000</v>
      </c>
      <c r="O944">
        <f t="shared" si="29"/>
        <v>3000</v>
      </c>
      <c r="P944" t="str">
        <f>IF(AND(F944="Nağd",G944&gt;5),M944*0.9,"0%")</f>
        <v>0%</v>
      </c>
      <c r="Q944" s="9">
        <f>IF(F944="Kredit",EOMONTH(B944,0),"")</f>
        <v>46081</v>
      </c>
      <c r="R944" s="17" t="str">
        <f>TEXT(B944,"dddd")</f>
        <v>Thursday</v>
      </c>
    </row>
    <row r="945" spans="1:18">
      <c r="A945" s="5" t="s">
        <v>952</v>
      </c>
      <c r="B945" s="8">
        <v>46114</v>
      </c>
      <c r="C945" s="5" t="s">
        <v>974</v>
      </c>
      <c r="D945" s="5" t="s">
        <v>971</v>
      </c>
      <c r="E945" s="5" t="s">
        <v>981</v>
      </c>
      <c r="F945" s="5" t="s">
        <v>965</v>
      </c>
      <c r="G945" s="5">
        <v>5</v>
      </c>
      <c r="H945" s="5" t="s">
        <v>963</v>
      </c>
      <c r="I945" s="13">
        <v>502224724</v>
      </c>
      <c r="J945" s="10" t="s">
        <v>1928</v>
      </c>
      <c r="K945" t="str">
        <f>LEFT(C945,FIND(" ",C945)-1)&amp;"-"&amp;E945&amp;" "&amp;"Filialina çardırılma"</f>
        <v>Ramil-Gəncə Filialina çardırılma</v>
      </c>
      <c r="L945">
        <f>VLOOKUP(D945,Anbar!$A$2:$B$5,2,FALSE)</f>
        <v>1200</v>
      </c>
      <c r="M945">
        <f>VLOOKUP(D945,Anbar!$A$2:$C$5,3,FALSE)</f>
        <v>1800</v>
      </c>
      <c r="N945">
        <f t="shared" si="28"/>
        <v>9000</v>
      </c>
      <c r="O945">
        <f t="shared" si="29"/>
        <v>3000</v>
      </c>
      <c r="P945" t="str">
        <f>IF(AND(F945="Nağd",G945&gt;5),M945*0.9,"0%")</f>
        <v>0%</v>
      </c>
      <c r="Q945" s="9" t="str">
        <f>IF(F945="Kredit",EOMONTH(B945,0),"")</f>
        <v/>
      </c>
      <c r="R945" s="17" t="str">
        <f>TEXT(B945,"dddd")</f>
        <v>Thursday</v>
      </c>
    </row>
    <row r="946" spans="1:18">
      <c r="A946" s="5" t="s">
        <v>953</v>
      </c>
      <c r="B946" s="8">
        <v>46066</v>
      </c>
      <c r="C946" s="5" t="s">
        <v>979</v>
      </c>
      <c r="D946" s="5" t="s">
        <v>15</v>
      </c>
      <c r="E946" s="5" t="s">
        <v>983</v>
      </c>
      <c r="F946" s="5" t="s">
        <v>4</v>
      </c>
      <c r="G946" s="5">
        <v>6</v>
      </c>
      <c r="H946" s="5" t="s">
        <v>963</v>
      </c>
      <c r="I946" s="13">
        <v>514708778</v>
      </c>
      <c r="J946" s="10" t="s">
        <v>1929</v>
      </c>
      <c r="K946" t="str">
        <f>LEFT(C946,FIND(" ",C946)-1)&amp;"-"&amp;E946&amp;" "&amp;"Filialina çardırılma"</f>
        <v>Leyla-Naməlum Filialina çardırılma</v>
      </c>
      <c r="L946">
        <f>VLOOKUP(D946,Anbar!$A$2:$B$5,2,FALSE)</f>
        <v>600</v>
      </c>
      <c r="M946">
        <f>VLOOKUP(D946,Anbar!$A$2:$C$5,3,FALSE)</f>
        <v>950</v>
      </c>
      <c r="N946">
        <f t="shared" si="28"/>
        <v>5700</v>
      </c>
      <c r="O946">
        <f t="shared" si="29"/>
        <v>2100</v>
      </c>
      <c r="P946" t="str">
        <f>IF(AND(F946="Nağd",G946&gt;5),M946*0.9,"0%")</f>
        <v>0%</v>
      </c>
      <c r="Q946" s="9">
        <f>IF(F946="Kredit",EOMONTH(B946,0),"")</f>
        <v>46081</v>
      </c>
      <c r="R946" s="17" t="str">
        <f>TEXT(B946,"dddd")</f>
        <v>Friday</v>
      </c>
    </row>
    <row r="947" spans="1:18">
      <c r="A947" s="5" t="s">
        <v>954</v>
      </c>
      <c r="B947" s="8">
        <v>46111</v>
      </c>
      <c r="C947" s="5" t="s">
        <v>976</v>
      </c>
      <c r="D947" s="5" t="s">
        <v>15</v>
      </c>
      <c r="E947" s="5" t="s">
        <v>981</v>
      </c>
      <c r="F947" s="5" t="s">
        <v>4</v>
      </c>
      <c r="G947" s="5">
        <v>7</v>
      </c>
      <c r="H947" s="5" t="s">
        <v>963</v>
      </c>
      <c r="I947" s="13">
        <v>771561571</v>
      </c>
      <c r="J947" s="10" t="s">
        <v>1930</v>
      </c>
      <c r="K947" t="str">
        <f>LEFT(C947,FIND(" ",C947)-1)&amp;"-"&amp;E947&amp;" "&amp;"Filialina çardırılma"</f>
        <v>Nərgin-Gəncə Filialina çardırılma</v>
      </c>
      <c r="L947">
        <f>VLOOKUP(D947,Anbar!$A$2:$B$5,2,FALSE)</f>
        <v>600</v>
      </c>
      <c r="M947">
        <f>VLOOKUP(D947,Anbar!$A$2:$C$5,3,FALSE)</f>
        <v>950</v>
      </c>
      <c r="N947">
        <f t="shared" si="28"/>
        <v>6650</v>
      </c>
      <c r="O947">
        <f t="shared" si="29"/>
        <v>2450</v>
      </c>
      <c r="P947" t="str">
        <f>IF(AND(F947="Nağd",G947&gt;5),M947*0.9,"0%")</f>
        <v>0%</v>
      </c>
      <c r="Q947" s="9">
        <f>IF(F947="Kredit",EOMONTH(B947,0),"")</f>
        <v>46112</v>
      </c>
      <c r="R947" s="17" t="str">
        <f>TEXT(B947,"dddd")</f>
        <v>Monday</v>
      </c>
    </row>
    <row r="948" spans="1:18">
      <c r="A948" s="5" t="s">
        <v>955</v>
      </c>
      <c r="B948" s="8">
        <v>46179</v>
      </c>
      <c r="C948" s="5" t="s">
        <v>967</v>
      </c>
      <c r="D948" s="5" t="s">
        <v>15</v>
      </c>
      <c r="E948" s="5" t="s">
        <v>980</v>
      </c>
      <c r="F948" s="5" t="s">
        <v>4</v>
      </c>
      <c r="G948" s="5">
        <v>2</v>
      </c>
      <c r="H948" s="5" t="s">
        <v>963</v>
      </c>
      <c r="I948" s="13">
        <v>701714486</v>
      </c>
      <c r="J948" s="10" t="s">
        <v>1931</v>
      </c>
      <c r="K948" t="str">
        <f>LEFT(C948,FIND(" ",C948)-1)&amp;"-"&amp;E948&amp;" "&amp;"Filialina çardırılma"</f>
        <v>Aysel-Sumqayit Filialina çardırılma</v>
      </c>
      <c r="L948">
        <f>VLOOKUP(D948,Anbar!$A$2:$B$5,2,FALSE)</f>
        <v>600</v>
      </c>
      <c r="M948">
        <f>VLOOKUP(D948,Anbar!$A$2:$C$5,3,FALSE)</f>
        <v>950</v>
      </c>
      <c r="N948">
        <f t="shared" si="28"/>
        <v>1900</v>
      </c>
      <c r="O948">
        <f t="shared" si="29"/>
        <v>700</v>
      </c>
      <c r="P948" t="str">
        <f>IF(AND(F948="Nağd",G948&gt;5),M948*0.9,"0%")</f>
        <v>0%</v>
      </c>
      <c r="Q948" s="9">
        <f>IF(F948="Kredit",EOMONTH(B948,0),"")</f>
        <v>46203</v>
      </c>
      <c r="R948" s="17" t="str">
        <f>TEXT(B948,"dddd")</f>
        <v>Saturday</v>
      </c>
    </row>
    <row r="949" spans="1:18">
      <c r="A949" s="5" t="s">
        <v>956</v>
      </c>
      <c r="B949" s="8">
        <v>46078</v>
      </c>
      <c r="C949" s="5" t="s">
        <v>6</v>
      </c>
      <c r="D949" s="5" t="s">
        <v>968</v>
      </c>
      <c r="E949" s="5" t="s">
        <v>981</v>
      </c>
      <c r="F949" s="5" t="s">
        <v>4</v>
      </c>
      <c r="G949" s="5">
        <v>8</v>
      </c>
      <c r="H949" s="5" t="s">
        <v>963</v>
      </c>
      <c r="I949" s="13">
        <v>776830477</v>
      </c>
      <c r="J949" s="10" t="s">
        <v>1932</v>
      </c>
      <c r="K949" t="str">
        <f>LEFT(C949,FIND(" ",C949)-1)&amp;"-"&amp;E949&amp;" "&amp;"Filialina çardırılma"</f>
        <v>Zaur-Gəncə Filialina çardırılma</v>
      </c>
      <c r="L949">
        <f>VLOOKUP(D949,Anbar!$A$2:$B$5,2,FALSE)</f>
        <v>400</v>
      </c>
      <c r="M949">
        <f>VLOOKUP(D949,Anbar!$A$2:$C$5,3,FALSE)</f>
        <v>650</v>
      </c>
      <c r="N949">
        <f t="shared" si="28"/>
        <v>5200</v>
      </c>
      <c r="O949">
        <f t="shared" si="29"/>
        <v>2000</v>
      </c>
      <c r="P949" t="str">
        <f>IF(AND(F949="Nağd",G949&gt;5),M949*0.9,"0%")</f>
        <v>0%</v>
      </c>
      <c r="Q949" s="9">
        <f>IF(F949="Kredit",EOMONTH(B949,0),"")</f>
        <v>46081</v>
      </c>
      <c r="R949" s="17" t="str">
        <f>TEXT(B949,"dddd")</f>
        <v>Wednesday</v>
      </c>
    </row>
    <row r="950" spans="1:18">
      <c r="A950" s="5" t="s">
        <v>957</v>
      </c>
      <c r="B950" s="8">
        <v>46055</v>
      </c>
      <c r="C950" s="5" t="s">
        <v>977</v>
      </c>
      <c r="D950" s="5" t="s">
        <v>15</v>
      </c>
      <c r="E950" s="5" t="s">
        <v>980</v>
      </c>
      <c r="F950" s="5" t="s">
        <v>7</v>
      </c>
      <c r="G950" s="5">
        <v>9</v>
      </c>
      <c r="H950" s="5" t="s">
        <v>963</v>
      </c>
      <c r="I950" s="13">
        <v>706876722</v>
      </c>
      <c r="J950" s="10" t="s">
        <v>1933</v>
      </c>
      <c r="K950" t="str">
        <f>LEFT(C950,FIND(" ",C950)-1)&amp;"-"&amp;E950&amp;" "&amp;"Filialina çardırılma"</f>
        <v>Elnur-Sumqayit Filialina çardırılma</v>
      </c>
      <c r="L950">
        <f>VLOOKUP(D950,Anbar!$A$2:$B$5,2,FALSE)</f>
        <v>600</v>
      </c>
      <c r="M950">
        <f>VLOOKUP(D950,Anbar!$A$2:$C$5,3,FALSE)</f>
        <v>950</v>
      </c>
      <c r="N950">
        <f t="shared" si="28"/>
        <v>8550</v>
      </c>
      <c r="O950">
        <f t="shared" si="29"/>
        <v>3150</v>
      </c>
      <c r="P950" t="str">
        <f>IF(AND(F950="Nağd",G950&gt;5),M950*0.9,"0%")</f>
        <v>0%</v>
      </c>
      <c r="Q950" s="9" t="str">
        <f>IF(F950="Kredit",EOMONTH(B950,0),"")</f>
        <v/>
      </c>
      <c r="R950" s="17" t="str">
        <f>TEXT(B950,"dddd")</f>
        <v>Monday</v>
      </c>
    </row>
    <row r="951" spans="1:18">
      <c r="A951" s="5" t="s">
        <v>958</v>
      </c>
      <c r="B951" s="8">
        <v>46080</v>
      </c>
      <c r="C951" s="5" t="s">
        <v>967</v>
      </c>
      <c r="D951" s="5" t="s">
        <v>971</v>
      </c>
      <c r="E951" s="5" t="s">
        <v>982</v>
      </c>
      <c r="F951" s="5" t="s">
        <v>965</v>
      </c>
      <c r="G951" s="5">
        <v>2</v>
      </c>
      <c r="H951" s="5" t="s">
        <v>963</v>
      </c>
      <c r="I951" s="13">
        <v>700923951</v>
      </c>
      <c r="J951" s="10" t="s">
        <v>1934</v>
      </c>
      <c r="K951" t="str">
        <f>LEFT(C951,FIND(" ",C951)-1)&amp;"-"&amp;E951&amp;" "&amp;"Filialina çardırılma"</f>
        <v>Aysel-Baki Filialina çardırılma</v>
      </c>
      <c r="L951">
        <f>VLOOKUP(D951,Anbar!$A$2:$B$5,2,FALSE)</f>
        <v>1200</v>
      </c>
      <c r="M951">
        <f>VLOOKUP(D951,Anbar!$A$2:$C$5,3,FALSE)</f>
        <v>1800</v>
      </c>
      <c r="N951">
        <f t="shared" si="28"/>
        <v>3600</v>
      </c>
      <c r="O951">
        <f t="shared" si="29"/>
        <v>1200</v>
      </c>
      <c r="P951" t="str">
        <f>IF(AND(F951="Nağd",G951&gt;5),M951*0.9,"0%")</f>
        <v>0%</v>
      </c>
      <c r="Q951" s="9" t="str">
        <f>IF(F951="Kredit",EOMONTH(B951,0),"")</f>
        <v/>
      </c>
      <c r="R951" s="17" t="str">
        <f>TEXT(B951,"dddd")</f>
        <v>Friday</v>
      </c>
    </row>
    <row r="952" spans="1:18">
      <c r="A952" s="5"/>
      <c r="B952" s="8"/>
      <c r="C952" s="5"/>
      <c r="D952" s="5"/>
      <c r="E952" s="5" t="s">
        <v>983</v>
      </c>
      <c r="F952" s="5" t="s">
        <v>983</v>
      </c>
      <c r="G952" s="5"/>
      <c r="H952" s="5"/>
      <c r="I952" s="13"/>
      <c r="K952" t="e">
        <f>LEFT(C952,FIND(" ",C952)-1)&amp;"-"&amp;E952&amp;" "&amp;"Filialina çardırılma"</f>
        <v>#VALUE!</v>
      </c>
      <c r="L952" t="e">
        <f>VLOOKUP(D952,Anbar!$A$2:$B$5,2,FALSE)</f>
        <v>#N/A</v>
      </c>
      <c r="M952" t="e">
        <f>VLOOKUP(D952,Anbar!$A$2:$C$5,3,FALSE)</f>
        <v>#N/A</v>
      </c>
      <c r="N952" t="e">
        <f t="shared" si="28"/>
        <v>#N/A</v>
      </c>
      <c r="O952" t="e">
        <f t="shared" si="29"/>
        <v>#N/A</v>
      </c>
      <c r="P952" t="str">
        <f>IF(AND(F952="Nağd",G952&gt;5),M952*0.9,"0%")</f>
        <v>0%</v>
      </c>
      <c r="Q952" s="9" t="str">
        <f>IF(F952="Kredit",EOMONTH(B952,0),"")</f>
        <v/>
      </c>
      <c r="R952" s="17" t="str">
        <f>TEXT(B952,"dddd")</f>
        <v>Saturday</v>
      </c>
    </row>
    <row r="953" spans="1:18">
      <c r="E953" s="6" t="s">
        <v>983</v>
      </c>
      <c r="F953" s="6" t="s">
        <v>983</v>
      </c>
      <c r="K953" t="e">
        <f>LEFT(C953,FIND(" ",C953)-1)&amp;"-"&amp;E953&amp;" "&amp;"Filialina çardırılma"</f>
        <v>#VALUE!</v>
      </c>
      <c r="L953" t="e">
        <f>VLOOKUP(D953,Anbar!$A$2:$B$5,2,FALSE)</f>
        <v>#N/A</v>
      </c>
      <c r="M953" t="e">
        <f>VLOOKUP(D953,Anbar!$A$2:$C$5,3,FALSE)</f>
        <v>#N/A</v>
      </c>
      <c r="N953" t="e">
        <f t="shared" si="28"/>
        <v>#N/A</v>
      </c>
      <c r="O953" t="e">
        <f t="shared" si="29"/>
        <v>#N/A</v>
      </c>
      <c r="P953" t="str">
        <f>IF(AND(F953="Nağd",G953&gt;5),M953*0.9,"0%")</f>
        <v>0%</v>
      </c>
      <c r="Q953" s="9" t="str">
        <f>IF(F953="Kredit",EOMONTH(B953,0),"")</f>
        <v/>
      </c>
      <c r="R953" s="17" t="str">
        <f>TEXT(B953,"dddd")</f>
        <v>Saturday</v>
      </c>
    </row>
    <row r="954" spans="1:18">
      <c r="E954" s="6" t="s">
        <v>983</v>
      </c>
      <c r="F954" s="6" t="s">
        <v>983</v>
      </c>
      <c r="K954" t="e">
        <f>LEFT(C954,FIND(" ",C954)-1)&amp;"-"&amp;E954&amp;" "&amp;"Filialina çardırılma"</f>
        <v>#VALUE!</v>
      </c>
      <c r="L954" t="e">
        <f>VLOOKUP(D954,Anbar!$A$2:$B$5,2,FALSE)</f>
        <v>#N/A</v>
      </c>
      <c r="M954" t="e">
        <f>VLOOKUP(D954,Anbar!$A$2:$C$5,3,FALSE)</f>
        <v>#N/A</v>
      </c>
      <c r="N954" t="e">
        <f t="shared" si="28"/>
        <v>#N/A</v>
      </c>
      <c r="O954" t="e">
        <f t="shared" si="29"/>
        <v>#N/A</v>
      </c>
      <c r="P954" t="str">
        <f>IF(AND(F954="Nağd",G954&gt;5),M954*0.9,"0%")</f>
        <v>0%</v>
      </c>
      <c r="Q954" s="9" t="str">
        <f>IF(F954="Kredit",EOMONTH(B954,0),"")</f>
        <v/>
      </c>
      <c r="R954" s="17" t="str">
        <f>TEXT(B954,"dddd")</f>
        <v>Saturday</v>
      </c>
    </row>
    <row r="955" spans="1:18">
      <c r="E955" s="6" t="s">
        <v>983</v>
      </c>
      <c r="F955" s="6" t="s">
        <v>983</v>
      </c>
      <c r="K955" t="e">
        <f>LEFT(C955,FIND(" ",C955)-1)&amp;"-"&amp;E955&amp;" "&amp;"Filialina çardırılma"</f>
        <v>#VALUE!</v>
      </c>
      <c r="L955" t="e">
        <f>VLOOKUP(D955,Anbar!$A$2:$B$5,2,FALSE)</f>
        <v>#N/A</v>
      </c>
      <c r="M955" t="e">
        <f>VLOOKUP(D955,Anbar!$A$2:$C$5,3,FALSE)</f>
        <v>#N/A</v>
      </c>
      <c r="N955" t="e">
        <f t="shared" si="28"/>
        <v>#N/A</v>
      </c>
      <c r="O955" t="e">
        <f t="shared" si="29"/>
        <v>#N/A</v>
      </c>
      <c r="P955" t="str">
        <f>IF(AND(F955="Nağd",G955&gt;5),M955*0.9,"0%")</f>
        <v>0%</v>
      </c>
      <c r="Q955" s="9" t="str">
        <f>IF(F955="Kredit",EOMONTH(B955,0),"")</f>
        <v/>
      </c>
      <c r="R955" s="17" t="str">
        <f>TEXT(B955,"dddd")</f>
        <v>Saturday</v>
      </c>
    </row>
    <row r="956" spans="1:18">
      <c r="E956" s="6" t="s">
        <v>983</v>
      </c>
      <c r="F956" s="6" t="s">
        <v>983</v>
      </c>
      <c r="K956" t="e">
        <f>LEFT(C956,FIND(" ",C956)-1)&amp;"-"&amp;E956&amp;" "&amp;"Filialina çardırılma"</f>
        <v>#VALUE!</v>
      </c>
      <c r="L956" t="e">
        <f>VLOOKUP(D956,Anbar!$A$2:$B$5,2,FALSE)</f>
        <v>#N/A</v>
      </c>
      <c r="M956" t="e">
        <f>VLOOKUP(D956,Anbar!$A$2:$C$5,3,FALSE)</f>
        <v>#N/A</v>
      </c>
      <c r="N956" t="e">
        <f t="shared" si="28"/>
        <v>#N/A</v>
      </c>
      <c r="O956" t="e">
        <f t="shared" si="29"/>
        <v>#N/A</v>
      </c>
      <c r="P956" t="str">
        <f>IF(AND(F956="Nağd",G956&gt;5),M956*0.9,"0%")</f>
        <v>0%</v>
      </c>
      <c r="Q956" s="9" t="str">
        <f>IF(F956="Kredit",EOMONTH(B956,0),"")</f>
        <v/>
      </c>
      <c r="R956" s="17" t="str">
        <f>TEXT(B956,"dddd")</f>
        <v>Saturday</v>
      </c>
    </row>
    <row r="957" spans="1:18">
      <c r="E957" s="6" t="s">
        <v>983</v>
      </c>
      <c r="F957" s="6" t="s">
        <v>983</v>
      </c>
      <c r="K957" t="e">
        <f>LEFT(C957,FIND(" ",C957)-1)&amp;"-"&amp;E957&amp;" "&amp;"Filialina çardırılma"</f>
        <v>#VALUE!</v>
      </c>
      <c r="L957" t="e">
        <f>VLOOKUP(D957,Anbar!$A$2:$B$5,2,FALSE)</f>
        <v>#N/A</v>
      </c>
      <c r="M957" t="e">
        <f>VLOOKUP(D957,Anbar!$A$2:$C$5,3,FALSE)</f>
        <v>#N/A</v>
      </c>
      <c r="N957" t="e">
        <f t="shared" si="28"/>
        <v>#N/A</v>
      </c>
      <c r="O957" t="e">
        <f t="shared" si="29"/>
        <v>#N/A</v>
      </c>
      <c r="P957" t="str">
        <f>IF(AND(F957="Nağd",G957&gt;5),M957*0.9,"0%")</f>
        <v>0%</v>
      </c>
      <c r="Q957" s="9" t="str">
        <f>IF(F957="Kredit",EOMONTH(B957,0),"")</f>
        <v/>
      </c>
      <c r="R957" s="17" t="str">
        <f>TEXT(B957,"dddd")</f>
        <v>Saturday</v>
      </c>
    </row>
    <row r="958" spans="1:18">
      <c r="E958" s="6" t="s">
        <v>983</v>
      </c>
      <c r="F958" s="6" t="s">
        <v>983</v>
      </c>
      <c r="K958" t="e">
        <f>LEFT(C958,FIND(" ",C958)-1)&amp;"-"&amp;E958&amp;" "&amp;"Filialina çardırılma"</f>
        <v>#VALUE!</v>
      </c>
      <c r="L958" t="e">
        <f>VLOOKUP(D958,Anbar!$A$2:$B$5,2,FALSE)</f>
        <v>#N/A</v>
      </c>
      <c r="M958" t="e">
        <f>VLOOKUP(D958,Anbar!$A$2:$C$5,3,FALSE)</f>
        <v>#N/A</v>
      </c>
      <c r="N958" t="e">
        <f t="shared" si="28"/>
        <v>#N/A</v>
      </c>
      <c r="O958" t="e">
        <f t="shared" si="29"/>
        <v>#N/A</v>
      </c>
      <c r="P958" t="str">
        <f>IF(AND(F958="Nağd",G958&gt;5),M958*0.9,"0%")</f>
        <v>0%</v>
      </c>
      <c r="Q958" s="9" t="str">
        <f>IF(F958="Kredit",EOMONTH(B958,0),"")</f>
        <v/>
      </c>
      <c r="R958" s="17" t="str">
        <f>TEXT(B958,"dddd")</f>
        <v>Saturday</v>
      </c>
    </row>
    <row r="959" spans="1:18">
      <c r="E959" s="6" t="s">
        <v>983</v>
      </c>
      <c r="F959" s="6" t="s">
        <v>983</v>
      </c>
      <c r="K959" t="e">
        <f>LEFT(C959,FIND(" ",C959)-1)&amp;"-"&amp;E959&amp;" "&amp;"Filialina çardırılma"</f>
        <v>#VALUE!</v>
      </c>
      <c r="L959" t="e">
        <f>VLOOKUP(D959,Anbar!$A$2:$B$5,2,FALSE)</f>
        <v>#N/A</v>
      </c>
      <c r="M959" t="e">
        <f>VLOOKUP(D959,Anbar!$A$2:$C$5,3,FALSE)</f>
        <v>#N/A</v>
      </c>
      <c r="N959" t="e">
        <f t="shared" si="28"/>
        <v>#N/A</v>
      </c>
      <c r="O959" t="e">
        <f t="shared" si="29"/>
        <v>#N/A</v>
      </c>
      <c r="P959" t="str">
        <f>IF(AND(F959="Nağd",G959&gt;5),M959*0.9,"0%")</f>
        <v>0%</v>
      </c>
      <c r="Q959" s="9" t="str">
        <f>IF(F959="Kredit",EOMONTH(B959,0),"")</f>
        <v/>
      </c>
      <c r="R959" s="17" t="str">
        <f>TEXT(B959,"dddd")</f>
        <v>Saturday</v>
      </c>
    </row>
    <row r="960" spans="1:18">
      <c r="E960" s="6" t="s">
        <v>983</v>
      </c>
      <c r="F960" s="6" t="s">
        <v>983</v>
      </c>
      <c r="K960" t="e">
        <f>LEFT(C960,FIND(" ",C960)-1)&amp;"-"&amp;E960&amp;" "&amp;"Filialina çardırılma"</f>
        <v>#VALUE!</v>
      </c>
      <c r="L960" t="e">
        <f>VLOOKUP(D960,Anbar!$A$2:$B$5,2,FALSE)</f>
        <v>#N/A</v>
      </c>
      <c r="M960" t="e">
        <f>VLOOKUP(D960,Anbar!$A$2:$C$5,3,FALSE)</f>
        <v>#N/A</v>
      </c>
      <c r="N960" t="e">
        <f t="shared" si="28"/>
        <v>#N/A</v>
      </c>
      <c r="O960" t="e">
        <f t="shared" si="29"/>
        <v>#N/A</v>
      </c>
      <c r="P960" t="str">
        <f>IF(AND(F960="Nağd",G960&gt;5),M960*0.9,"0%")</f>
        <v>0%</v>
      </c>
      <c r="Q960" s="9" t="str">
        <f>IF(F960="Kredit",EOMONTH(B960,0),"")</f>
        <v/>
      </c>
      <c r="R960" s="17" t="str">
        <f>TEXT(B960,"dddd")</f>
        <v>Saturday</v>
      </c>
    </row>
    <row r="961" spans="5:18">
      <c r="E961" s="6" t="s">
        <v>983</v>
      </c>
      <c r="F961" s="6" t="s">
        <v>983</v>
      </c>
      <c r="K961" t="e">
        <f>LEFT(C961,FIND(" ",C961)-1)&amp;"-"&amp;E961&amp;" "&amp;"Filialina çardırılma"</f>
        <v>#VALUE!</v>
      </c>
      <c r="L961" t="e">
        <f>VLOOKUP(D961,Anbar!$A$2:$B$5,2,FALSE)</f>
        <v>#N/A</v>
      </c>
      <c r="M961" t="e">
        <f>VLOOKUP(D961,Anbar!$A$2:$C$5,3,FALSE)</f>
        <v>#N/A</v>
      </c>
      <c r="N961" t="e">
        <f t="shared" si="28"/>
        <v>#N/A</v>
      </c>
      <c r="O961" t="e">
        <f t="shared" si="29"/>
        <v>#N/A</v>
      </c>
      <c r="P961" t="str">
        <f>IF(AND(F961="Nağd",G961&gt;5),M961*0.9,"0%")</f>
        <v>0%</v>
      </c>
      <c r="Q961" s="9" t="str">
        <f>IF(F961="Kredit",EOMONTH(B961,0),"")</f>
        <v/>
      </c>
      <c r="R961" s="17" t="str">
        <f>TEXT(B961,"dddd")</f>
        <v>Saturday</v>
      </c>
    </row>
    <row r="962" spans="5:18">
      <c r="E962" s="6" t="s">
        <v>983</v>
      </c>
      <c r="F962" s="6" t="s">
        <v>983</v>
      </c>
      <c r="K962" t="e">
        <f>LEFT(C962,FIND(" ",C962)-1)&amp;"-"&amp;E962&amp;" "&amp;"Filialina çardırılma"</f>
        <v>#VALUE!</v>
      </c>
      <c r="L962" t="e">
        <f>VLOOKUP(D962,Anbar!$A$2:$B$5,2,FALSE)</f>
        <v>#N/A</v>
      </c>
      <c r="M962" t="e">
        <f>VLOOKUP(D962,Anbar!$A$2:$C$5,3,FALSE)</f>
        <v>#N/A</v>
      </c>
      <c r="N962" t="e">
        <f t="shared" si="28"/>
        <v>#N/A</v>
      </c>
      <c r="O962" t="e">
        <f t="shared" si="29"/>
        <v>#N/A</v>
      </c>
      <c r="P962" t="str">
        <f>IF(AND(F962="Nağd",G962&gt;5),M962*0.9,"0%")</f>
        <v>0%</v>
      </c>
      <c r="Q962" s="9" t="str">
        <f>IF(F962="Kredit",EOMONTH(B962,0),"")</f>
        <v/>
      </c>
      <c r="R962" s="17" t="str">
        <f>TEXT(B962,"dddd")</f>
        <v>Saturday</v>
      </c>
    </row>
    <row r="963" spans="5:18">
      <c r="E963" s="6" t="s">
        <v>983</v>
      </c>
      <c r="F963" s="6" t="s">
        <v>983</v>
      </c>
      <c r="K963" t="e">
        <f>LEFT(C963,FIND(" ",C963)-1)&amp;"-"&amp;E963&amp;" "&amp;"Filialina çardırılma"</f>
        <v>#VALUE!</v>
      </c>
      <c r="L963" t="e">
        <f>VLOOKUP(D963,Anbar!$A$2:$B$5,2,FALSE)</f>
        <v>#N/A</v>
      </c>
      <c r="M963" t="e">
        <f>VLOOKUP(D963,Anbar!$A$2:$C$5,3,FALSE)</f>
        <v>#N/A</v>
      </c>
      <c r="N963" t="e">
        <f t="shared" ref="N963:N1002" si="30">G963*M963</f>
        <v>#N/A</v>
      </c>
      <c r="O963" t="e">
        <f t="shared" ref="O963:O1002" si="31">(M963-L963)*G963</f>
        <v>#N/A</v>
      </c>
      <c r="P963" t="str">
        <f>IF(AND(F963="Nağd",G963&gt;5),M963*0.9,"0%")</f>
        <v>0%</v>
      </c>
      <c r="Q963" s="9" t="str">
        <f>IF(F963="Kredit",EOMONTH(B963,0),"")</f>
        <v/>
      </c>
      <c r="R963" s="17" t="str">
        <f>TEXT(B963,"dddd")</f>
        <v>Saturday</v>
      </c>
    </row>
    <row r="964" spans="5:18">
      <c r="E964" s="6" t="s">
        <v>983</v>
      </c>
      <c r="F964" s="6" t="s">
        <v>983</v>
      </c>
      <c r="K964" t="e">
        <f>LEFT(C964,FIND(" ",C964)-1)&amp;"-"&amp;E964&amp;" "&amp;"Filialina çardırılma"</f>
        <v>#VALUE!</v>
      </c>
      <c r="L964" t="e">
        <f>VLOOKUP(D964,Anbar!$A$2:$B$5,2,FALSE)</f>
        <v>#N/A</v>
      </c>
      <c r="M964" t="e">
        <f>VLOOKUP(D964,Anbar!$A$2:$C$5,3,FALSE)</f>
        <v>#N/A</v>
      </c>
      <c r="N964" t="e">
        <f t="shared" si="30"/>
        <v>#N/A</v>
      </c>
      <c r="O964" t="e">
        <f t="shared" si="31"/>
        <v>#N/A</v>
      </c>
      <c r="P964" t="str">
        <f>IF(AND(F964="Nağd",G964&gt;5),M964*0.9,"0%")</f>
        <v>0%</v>
      </c>
      <c r="Q964" s="9" t="str">
        <f>IF(F964="Kredit",EOMONTH(B964,0),"")</f>
        <v/>
      </c>
      <c r="R964" s="17" t="str">
        <f>TEXT(B964,"dddd")</f>
        <v>Saturday</v>
      </c>
    </row>
    <row r="965" spans="5:18">
      <c r="E965" s="6" t="s">
        <v>983</v>
      </c>
      <c r="F965" s="6" t="s">
        <v>983</v>
      </c>
      <c r="K965" t="e">
        <f>LEFT(C965,FIND(" ",C965)-1)&amp;"-"&amp;E965&amp;" "&amp;"Filialina çardırılma"</f>
        <v>#VALUE!</v>
      </c>
      <c r="L965" t="e">
        <f>VLOOKUP(D965,Anbar!$A$2:$B$5,2,FALSE)</f>
        <v>#N/A</v>
      </c>
      <c r="M965" t="e">
        <f>VLOOKUP(D965,Anbar!$A$2:$C$5,3,FALSE)</f>
        <v>#N/A</v>
      </c>
      <c r="N965" t="e">
        <f t="shared" si="30"/>
        <v>#N/A</v>
      </c>
      <c r="O965" t="e">
        <f t="shared" si="31"/>
        <v>#N/A</v>
      </c>
      <c r="P965" t="str">
        <f>IF(AND(F965="Nağd",G965&gt;5),M965*0.9,"0%")</f>
        <v>0%</v>
      </c>
      <c r="Q965" s="9" t="str">
        <f>IF(F965="Kredit",EOMONTH(B965,0),"")</f>
        <v/>
      </c>
      <c r="R965" s="17" t="str">
        <f>TEXT(B965,"dddd")</f>
        <v>Saturday</v>
      </c>
    </row>
    <row r="966" spans="5:18">
      <c r="E966" s="6" t="s">
        <v>983</v>
      </c>
      <c r="F966" s="6" t="s">
        <v>983</v>
      </c>
      <c r="K966" t="e">
        <f>LEFT(C966,FIND(" ",C966)-1)&amp;"-"&amp;E966&amp;" "&amp;"Filialina çardırılma"</f>
        <v>#VALUE!</v>
      </c>
      <c r="L966" t="e">
        <f>VLOOKUP(D966,Anbar!$A$2:$B$5,2,FALSE)</f>
        <v>#N/A</v>
      </c>
      <c r="M966" t="e">
        <f>VLOOKUP(D966,Anbar!$A$2:$C$5,3,FALSE)</f>
        <v>#N/A</v>
      </c>
      <c r="N966" t="e">
        <f t="shared" si="30"/>
        <v>#N/A</v>
      </c>
      <c r="O966" t="e">
        <f t="shared" si="31"/>
        <v>#N/A</v>
      </c>
      <c r="P966" t="str">
        <f>IF(AND(F966="Nağd",G966&gt;5),M966*0.9,"0%")</f>
        <v>0%</v>
      </c>
      <c r="Q966" s="9" t="str">
        <f>IF(F966="Kredit",EOMONTH(B966,0),"")</f>
        <v/>
      </c>
      <c r="R966" s="17" t="str">
        <f>TEXT(B966,"dddd")</f>
        <v>Saturday</v>
      </c>
    </row>
    <row r="967" spans="5:18">
      <c r="E967" s="6" t="s">
        <v>983</v>
      </c>
      <c r="F967" s="6" t="s">
        <v>983</v>
      </c>
      <c r="K967" t="e">
        <f>LEFT(C967,FIND(" ",C967)-1)&amp;"-"&amp;E967&amp;" "&amp;"Filialina çardırılma"</f>
        <v>#VALUE!</v>
      </c>
      <c r="L967" t="e">
        <f>VLOOKUP(D967,Anbar!$A$2:$B$5,2,FALSE)</f>
        <v>#N/A</v>
      </c>
      <c r="M967" t="e">
        <f>VLOOKUP(D967,Anbar!$A$2:$C$5,3,FALSE)</f>
        <v>#N/A</v>
      </c>
      <c r="N967" t="e">
        <f t="shared" si="30"/>
        <v>#N/A</v>
      </c>
      <c r="O967" t="e">
        <f t="shared" si="31"/>
        <v>#N/A</v>
      </c>
      <c r="P967" t="str">
        <f>IF(AND(F967="Nağd",G967&gt;5),M967*0.9,"0%")</f>
        <v>0%</v>
      </c>
      <c r="Q967" s="9" t="str">
        <f>IF(F967="Kredit",EOMONTH(B967,0),"")</f>
        <v/>
      </c>
      <c r="R967" s="17" t="str">
        <f>TEXT(B967,"dddd")</f>
        <v>Saturday</v>
      </c>
    </row>
    <row r="968" spans="5:18">
      <c r="E968" s="6" t="s">
        <v>983</v>
      </c>
      <c r="F968" s="6" t="s">
        <v>983</v>
      </c>
      <c r="K968" t="e">
        <f>LEFT(C968,FIND(" ",C968)-1)&amp;"-"&amp;E968&amp;" "&amp;"Filialina çardırılma"</f>
        <v>#VALUE!</v>
      </c>
      <c r="L968" t="e">
        <f>VLOOKUP(D968,Anbar!$A$2:$B$5,2,FALSE)</f>
        <v>#N/A</v>
      </c>
      <c r="M968" t="e">
        <f>VLOOKUP(D968,Anbar!$A$2:$C$5,3,FALSE)</f>
        <v>#N/A</v>
      </c>
      <c r="N968" t="e">
        <f t="shared" si="30"/>
        <v>#N/A</v>
      </c>
      <c r="O968" t="e">
        <f t="shared" si="31"/>
        <v>#N/A</v>
      </c>
      <c r="P968" t="str">
        <f>IF(AND(F968="Nağd",G968&gt;5),M968*0.9,"0%")</f>
        <v>0%</v>
      </c>
      <c r="Q968" s="9" t="str">
        <f>IF(F968="Kredit",EOMONTH(B968,0),"")</f>
        <v/>
      </c>
      <c r="R968" s="17" t="str">
        <f>TEXT(B968,"dddd")</f>
        <v>Saturday</v>
      </c>
    </row>
    <row r="969" spans="5:18">
      <c r="E969" s="6" t="s">
        <v>983</v>
      </c>
      <c r="F969" s="6" t="s">
        <v>983</v>
      </c>
      <c r="K969" t="e">
        <f>LEFT(C969,FIND(" ",C969)-1)&amp;"-"&amp;E969&amp;" "&amp;"Filialina çardırılma"</f>
        <v>#VALUE!</v>
      </c>
      <c r="L969" t="e">
        <f>VLOOKUP(D969,Anbar!$A$2:$B$5,2,FALSE)</f>
        <v>#N/A</v>
      </c>
      <c r="M969" t="e">
        <f>VLOOKUP(D969,Anbar!$A$2:$C$5,3,FALSE)</f>
        <v>#N/A</v>
      </c>
      <c r="N969" t="e">
        <f t="shared" si="30"/>
        <v>#N/A</v>
      </c>
      <c r="O969" t="e">
        <f t="shared" si="31"/>
        <v>#N/A</v>
      </c>
      <c r="P969" t="str">
        <f>IF(AND(F969="Nağd",G969&gt;5),M969*0.9,"0%")</f>
        <v>0%</v>
      </c>
      <c r="Q969" s="9" t="str">
        <f>IF(F969="Kredit",EOMONTH(B969,0),"")</f>
        <v/>
      </c>
      <c r="R969" s="17" t="str">
        <f>TEXT(B969,"dddd")</f>
        <v>Saturday</v>
      </c>
    </row>
    <row r="970" spans="5:18">
      <c r="E970" s="6" t="s">
        <v>983</v>
      </c>
      <c r="F970" s="6" t="s">
        <v>983</v>
      </c>
      <c r="K970" t="e">
        <f>LEFT(C970,FIND(" ",C970)-1)&amp;"-"&amp;E970&amp;" "&amp;"Filialina çardırılma"</f>
        <v>#VALUE!</v>
      </c>
      <c r="L970" t="e">
        <f>VLOOKUP(D970,Anbar!$A$2:$B$5,2,FALSE)</f>
        <v>#N/A</v>
      </c>
      <c r="M970" t="e">
        <f>VLOOKUP(D970,Anbar!$A$2:$C$5,3,FALSE)</f>
        <v>#N/A</v>
      </c>
      <c r="N970" t="e">
        <f t="shared" si="30"/>
        <v>#N/A</v>
      </c>
      <c r="O970" t="e">
        <f t="shared" si="31"/>
        <v>#N/A</v>
      </c>
      <c r="P970" t="str">
        <f>IF(AND(F970="Nağd",G970&gt;5),M970*0.9,"0%")</f>
        <v>0%</v>
      </c>
      <c r="Q970" s="9" t="str">
        <f>IF(F970="Kredit",EOMONTH(B970,0),"")</f>
        <v/>
      </c>
      <c r="R970" s="17" t="str">
        <f>TEXT(B970,"dddd")</f>
        <v>Saturday</v>
      </c>
    </row>
    <row r="971" spans="5:18">
      <c r="E971" s="6" t="s">
        <v>983</v>
      </c>
      <c r="F971" s="6" t="s">
        <v>983</v>
      </c>
      <c r="K971" t="e">
        <f>LEFT(C971,FIND(" ",C971)-1)&amp;"-"&amp;E971&amp;" "&amp;"Filialina çardırılma"</f>
        <v>#VALUE!</v>
      </c>
      <c r="L971" t="e">
        <f>VLOOKUP(D971,Anbar!$A$2:$B$5,2,FALSE)</f>
        <v>#N/A</v>
      </c>
      <c r="M971" t="e">
        <f>VLOOKUP(D971,Anbar!$A$2:$C$5,3,FALSE)</f>
        <v>#N/A</v>
      </c>
      <c r="N971" t="e">
        <f t="shared" si="30"/>
        <v>#N/A</v>
      </c>
      <c r="O971" t="e">
        <f t="shared" si="31"/>
        <v>#N/A</v>
      </c>
      <c r="P971" t="str">
        <f>IF(AND(F971="Nağd",G971&gt;5),M971*0.9,"0%")</f>
        <v>0%</v>
      </c>
      <c r="Q971" s="9" t="str">
        <f>IF(F971="Kredit",EOMONTH(B971,0),"")</f>
        <v/>
      </c>
      <c r="R971" s="17" t="str">
        <f>TEXT(B971,"dddd")</f>
        <v>Saturday</v>
      </c>
    </row>
    <row r="972" spans="5:18">
      <c r="E972" s="6" t="s">
        <v>983</v>
      </c>
      <c r="F972" s="6" t="s">
        <v>983</v>
      </c>
      <c r="K972" t="e">
        <f>LEFT(C972,FIND(" ",C972)-1)&amp;"-"&amp;E972&amp;" "&amp;"Filialina çardırılma"</f>
        <v>#VALUE!</v>
      </c>
      <c r="L972" t="e">
        <f>VLOOKUP(D972,Anbar!$A$2:$B$5,2,FALSE)</f>
        <v>#N/A</v>
      </c>
      <c r="M972" t="e">
        <f>VLOOKUP(D972,Anbar!$A$2:$C$5,3,FALSE)</f>
        <v>#N/A</v>
      </c>
      <c r="N972" t="e">
        <f t="shared" si="30"/>
        <v>#N/A</v>
      </c>
      <c r="O972" t="e">
        <f t="shared" si="31"/>
        <v>#N/A</v>
      </c>
      <c r="P972" t="str">
        <f>IF(AND(F972="Nağd",G972&gt;5),M972*0.9,"0%")</f>
        <v>0%</v>
      </c>
      <c r="Q972" s="9" t="str">
        <f>IF(F972="Kredit",EOMONTH(B972,0),"")</f>
        <v/>
      </c>
      <c r="R972" s="17" t="str">
        <f>TEXT(B972,"dddd")</f>
        <v>Saturday</v>
      </c>
    </row>
    <row r="973" spans="5:18">
      <c r="E973" s="6" t="s">
        <v>983</v>
      </c>
      <c r="F973" s="6" t="s">
        <v>983</v>
      </c>
      <c r="K973" t="e">
        <f>LEFT(C973,FIND(" ",C973)-1)&amp;"-"&amp;E973&amp;" "&amp;"Filialina çardırılma"</f>
        <v>#VALUE!</v>
      </c>
      <c r="L973" t="e">
        <f>VLOOKUP(D973,Anbar!$A$2:$B$5,2,FALSE)</f>
        <v>#N/A</v>
      </c>
      <c r="M973" t="e">
        <f>VLOOKUP(D973,Anbar!$A$2:$C$5,3,FALSE)</f>
        <v>#N/A</v>
      </c>
      <c r="N973" t="e">
        <f t="shared" si="30"/>
        <v>#N/A</v>
      </c>
      <c r="O973" t="e">
        <f t="shared" si="31"/>
        <v>#N/A</v>
      </c>
      <c r="P973" t="str">
        <f>IF(AND(F973="Nağd",G973&gt;5),M973*0.9,"0%")</f>
        <v>0%</v>
      </c>
      <c r="Q973" s="9" t="str">
        <f>IF(F973="Kredit",EOMONTH(B973,0),"")</f>
        <v/>
      </c>
      <c r="R973" s="17" t="str">
        <f>TEXT(B973,"dddd")</f>
        <v>Saturday</v>
      </c>
    </row>
    <row r="974" spans="5:18">
      <c r="E974" s="6" t="s">
        <v>983</v>
      </c>
      <c r="F974" s="6" t="s">
        <v>983</v>
      </c>
      <c r="K974" t="e">
        <f>LEFT(C974,FIND(" ",C974)-1)&amp;"-"&amp;E974&amp;" "&amp;"Filialina çardırılma"</f>
        <v>#VALUE!</v>
      </c>
      <c r="L974" t="e">
        <f>VLOOKUP(D974,Anbar!$A$2:$B$5,2,FALSE)</f>
        <v>#N/A</v>
      </c>
      <c r="M974" t="e">
        <f>VLOOKUP(D974,Anbar!$A$2:$C$5,3,FALSE)</f>
        <v>#N/A</v>
      </c>
      <c r="N974" t="e">
        <f t="shared" si="30"/>
        <v>#N/A</v>
      </c>
      <c r="O974" t="e">
        <f t="shared" si="31"/>
        <v>#N/A</v>
      </c>
      <c r="P974" t="str">
        <f>IF(AND(F974="Nağd",G974&gt;5),M974*0.9,"0%")</f>
        <v>0%</v>
      </c>
      <c r="Q974" s="9" t="str">
        <f>IF(F974="Kredit",EOMONTH(B974,0),"")</f>
        <v/>
      </c>
      <c r="R974" s="17" t="str">
        <f>TEXT(B974,"dddd")</f>
        <v>Saturday</v>
      </c>
    </row>
    <row r="975" spans="5:18">
      <c r="E975" s="6" t="s">
        <v>983</v>
      </c>
      <c r="F975" s="6" t="s">
        <v>983</v>
      </c>
      <c r="K975" t="e">
        <f>LEFT(C975,FIND(" ",C975)-1)&amp;"-"&amp;E975&amp;" "&amp;"Filialina çardırılma"</f>
        <v>#VALUE!</v>
      </c>
      <c r="L975" t="e">
        <f>VLOOKUP(D975,Anbar!$A$2:$B$5,2,FALSE)</f>
        <v>#N/A</v>
      </c>
      <c r="M975" t="e">
        <f>VLOOKUP(D975,Anbar!$A$2:$C$5,3,FALSE)</f>
        <v>#N/A</v>
      </c>
      <c r="N975" t="e">
        <f t="shared" si="30"/>
        <v>#N/A</v>
      </c>
      <c r="O975" t="e">
        <f t="shared" si="31"/>
        <v>#N/A</v>
      </c>
      <c r="P975" t="str">
        <f>IF(AND(F975="Nağd",G975&gt;5),M975*0.9,"0%")</f>
        <v>0%</v>
      </c>
      <c r="Q975" s="9" t="str">
        <f>IF(F975="Kredit",EOMONTH(B975,0),"")</f>
        <v/>
      </c>
      <c r="R975" s="17" t="str">
        <f>TEXT(B975,"dddd")</f>
        <v>Saturday</v>
      </c>
    </row>
    <row r="976" spans="5:18">
      <c r="E976" s="6" t="s">
        <v>983</v>
      </c>
      <c r="F976" s="6" t="s">
        <v>983</v>
      </c>
      <c r="K976" t="e">
        <f>LEFT(C976,FIND(" ",C976)-1)&amp;"-"&amp;E976&amp;" "&amp;"Filialina çardırılma"</f>
        <v>#VALUE!</v>
      </c>
      <c r="L976" t="e">
        <f>VLOOKUP(D976,Anbar!$A$2:$B$5,2,FALSE)</f>
        <v>#N/A</v>
      </c>
      <c r="M976" t="e">
        <f>VLOOKUP(D976,Anbar!$A$2:$C$5,3,FALSE)</f>
        <v>#N/A</v>
      </c>
      <c r="N976" t="e">
        <f t="shared" si="30"/>
        <v>#N/A</v>
      </c>
      <c r="O976" t="e">
        <f t="shared" si="31"/>
        <v>#N/A</v>
      </c>
      <c r="P976" t="str">
        <f>IF(AND(F976="Nağd",G976&gt;5),M976*0.9,"0%")</f>
        <v>0%</v>
      </c>
      <c r="Q976" s="9" t="str">
        <f>IF(F976="Kredit",EOMONTH(B976,0),"")</f>
        <v/>
      </c>
      <c r="R976" s="17" t="str">
        <f>TEXT(B976,"dddd")</f>
        <v>Saturday</v>
      </c>
    </row>
    <row r="977" spans="5:18">
      <c r="E977" s="6" t="s">
        <v>983</v>
      </c>
      <c r="F977" s="6" t="s">
        <v>983</v>
      </c>
      <c r="K977" t="e">
        <f>LEFT(C977,FIND(" ",C977)-1)&amp;"-"&amp;E977&amp;" "&amp;"Filialina çardırılma"</f>
        <v>#VALUE!</v>
      </c>
      <c r="L977" t="e">
        <f>VLOOKUP(D977,Anbar!$A$2:$B$5,2,FALSE)</f>
        <v>#N/A</v>
      </c>
      <c r="M977" t="e">
        <f>VLOOKUP(D977,Anbar!$A$2:$C$5,3,FALSE)</f>
        <v>#N/A</v>
      </c>
      <c r="N977" t="e">
        <f t="shared" si="30"/>
        <v>#N/A</v>
      </c>
      <c r="O977" t="e">
        <f t="shared" si="31"/>
        <v>#N/A</v>
      </c>
      <c r="P977" t="str">
        <f>IF(AND(F977="Nağd",G977&gt;5),M977*0.9,"0%")</f>
        <v>0%</v>
      </c>
      <c r="Q977" s="9" t="str">
        <f>IF(F977="Kredit",EOMONTH(B977,0),"")</f>
        <v/>
      </c>
      <c r="R977" s="17" t="str">
        <f>TEXT(B977,"dddd")</f>
        <v>Saturday</v>
      </c>
    </row>
    <row r="978" spans="5:18">
      <c r="E978" s="6" t="s">
        <v>983</v>
      </c>
      <c r="F978" s="6" t="s">
        <v>983</v>
      </c>
      <c r="K978" t="e">
        <f>LEFT(C978,FIND(" ",C978)-1)&amp;"-"&amp;E978&amp;" "&amp;"Filialina çardırılma"</f>
        <v>#VALUE!</v>
      </c>
      <c r="L978" t="e">
        <f>VLOOKUP(D978,Anbar!$A$2:$B$5,2,FALSE)</f>
        <v>#N/A</v>
      </c>
      <c r="M978" t="e">
        <f>VLOOKUP(D978,Anbar!$A$2:$C$5,3,FALSE)</f>
        <v>#N/A</v>
      </c>
      <c r="N978" t="e">
        <f t="shared" si="30"/>
        <v>#N/A</v>
      </c>
      <c r="O978" t="e">
        <f t="shared" si="31"/>
        <v>#N/A</v>
      </c>
      <c r="P978" t="str">
        <f>IF(AND(F978="Nağd",G978&gt;5),M978*0.9,"0%")</f>
        <v>0%</v>
      </c>
      <c r="Q978" s="9" t="str">
        <f>IF(F978="Kredit",EOMONTH(B978,0),"")</f>
        <v/>
      </c>
      <c r="R978" s="17" t="str">
        <f>TEXT(B978,"dddd")</f>
        <v>Saturday</v>
      </c>
    </row>
    <row r="979" spans="5:18">
      <c r="E979" s="6" t="s">
        <v>983</v>
      </c>
      <c r="F979" s="6" t="s">
        <v>983</v>
      </c>
      <c r="K979" t="e">
        <f>LEFT(C979,FIND(" ",C979)-1)&amp;"-"&amp;E979&amp;" "&amp;"Filialina çardırılma"</f>
        <v>#VALUE!</v>
      </c>
      <c r="L979" t="e">
        <f>VLOOKUP(D979,Anbar!$A$2:$B$5,2,FALSE)</f>
        <v>#N/A</v>
      </c>
      <c r="M979" t="e">
        <f>VLOOKUP(D979,Anbar!$A$2:$C$5,3,FALSE)</f>
        <v>#N/A</v>
      </c>
      <c r="N979" t="e">
        <f t="shared" si="30"/>
        <v>#N/A</v>
      </c>
      <c r="O979" t="e">
        <f t="shared" si="31"/>
        <v>#N/A</v>
      </c>
      <c r="P979" t="str">
        <f>IF(AND(F979="Nağd",G979&gt;5),M979*0.9,"0%")</f>
        <v>0%</v>
      </c>
      <c r="Q979" s="9" t="str">
        <f>IF(F979="Kredit",EOMONTH(B979,0),"")</f>
        <v/>
      </c>
      <c r="R979" s="17" t="str">
        <f>TEXT(B979,"dddd")</f>
        <v>Saturday</v>
      </c>
    </row>
    <row r="980" spans="5:18">
      <c r="E980" s="6" t="s">
        <v>983</v>
      </c>
      <c r="F980" s="6" t="s">
        <v>983</v>
      </c>
      <c r="K980" t="e">
        <f>LEFT(C980,FIND(" ",C980)-1)&amp;"-"&amp;E980&amp;" "&amp;"Filialina çardırılma"</f>
        <v>#VALUE!</v>
      </c>
      <c r="L980" t="e">
        <f>VLOOKUP(D980,Anbar!$A$2:$B$5,2,FALSE)</f>
        <v>#N/A</v>
      </c>
      <c r="M980" t="e">
        <f>VLOOKUP(D980,Anbar!$A$2:$C$5,3,FALSE)</f>
        <v>#N/A</v>
      </c>
      <c r="N980" t="e">
        <f t="shared" si="30"/>
        <v>#N/A</v>
      </c>
      <c r="O980" t="e">
        <f t="shared" si="31"/>
        <v>#N/A</v>
      </c>
      <c r="P980" t="str">
        <f>IF(AND(F980="Nağd",G980&gt;5),M980*0.9,"0%")</f>
        <v>0%</v>
      </c>
      <c r="Q980" s="9" t="str">
        <f>IF(F980="Kredit",EOMONTH(B980,0),"")</f>
        <v/>
      </c>
      <c r="R980" s="17" t="str">
        <f>TEXT(B980,"dddd")</f>
        <v>Saturday</v>
      </c>
    </row>
    <row r="981" spans="5:18">
      <c r="E981" s="6" t="s">
        <v>983</v>
      </c>
      <c r="F981" s="6" t="s">
        <v>983</v>
      </c>
      <c r="K981" t="e">
        <f>LEFT(C981,FIND(" ",C981)-1)&amp;"-"&amp;E981&amp;" "&amp;"Filialina çardırılma"</f>
        <v>#VALUE!</v>
      </c>
      <c r="L981" t="e">
        <f>VLOOKUP(D981,Anbar!$A$2:$B$5,2,FALSE)</f>
        <v>#N/A</v>
      </c>
      <c r="M981" t="e">
        <f>VLOOKUP(D981,Anbar!$A$2:$C$5,3,FALSE)</f>
        <v>#N/A</v>
      </c>
      <c r="N981" t="e">
        <f t="shared" si="30"/>
        <v>#N/A</v>
      </c>
      <c r="O981" t="e">
        <f t="shared" si="31"/>
        <v>#N/A</v>
      </c>
      <c r="P981" t="str">
        <f>IF(AND(F981="Nağd",G981&gt;5),M981*0.9,"0%")</f>
        <v>0%</v>
      </c>
      <c r="Q981" s="9" t="str">
        <f>IF(F981="Kredit",EOMONTH(B981,0),"")</f>
        <v/>
      </c>
      <c r="R981" s="17" t="str">
        <f>TEXT(B981,"dddd")</f>
        <v>Saturday</v>
      </c>
    </row>
    <row r="982" spans="5:18">
      <c r="E982" s="6" t="s">
        <v>983</v>
      </c>
      <c r="F982" s="6" t="s">
        <v>983</v>
      </c>
      <c r="K982" t="e">
        <f>LEFT(C982,FIND(" ",C982)-1)&amp;"-"&amp;E982&amp;" "&amp;"Filialina çardırılma"</f>
        <v>#VALUE!</v>
      </c>
      <c r="L982" t="e">
        <f>VLOOKUP(D982,Anbar!$A$2:$B$5,2,FALSE)</f>
        <v>#N/A</v>
      </c>
      <c r="M982" t="e">
        <f>VLOOKUP(D982,Anbar!$A$2:$C$5,3,FALSE)</f>
        <v>#N/A</v>
      </c>
      <c r="N982" t="e">
        <f t="shared" si="30"/>
        <v>#N/A</v>
      </c>
      <c r="O982" t="e">
        <f t="shared" si="31"/>
        <v>#N/A</v>
      </c>
      <c r="P982" t="str">
        <f>IF(AND(F982="Nağd",G982&gt;5),M982*0.9,"0%")</f>
        <v>0%</v>
      </c>
      <c r="Q982" s="9" t="str">
        <f>IF(F982="Kredit",EOMONTH(B982,0),"")</f>
        <v/>
      </c>
      <c r="R982" s="17" t="str">
        <f>TEXT(B982,"dddd")</f>
        <v>Saturday</v>
      </c>
    </row>
    <row r="983" spans="5:18">
      <c r="E983" s="6" t="s">
        <v>983</v>
      </c>
      <c r="F983" s="6" t="s">
        <v>983</v>
      </c>
      <c r="K983" t="e">
        <f>LEFT(C983,FIND(" ",C983)-1)&amp;"-"&amp;E983&amp;" "&amp;"Filialina çardırılma"</f>
        <v>#VALUE!</v>
      </c>
      <c r="L983" t="e">
        <f>VLOOKUP(D983,Anbar!$A$2:$B$5,2,FALSE)</f>
        <v>#N/A</v>
      </c>
      <c r="M983" t="e">
        <f>VLOOKUP(D983,Anbar!$A$2:$C$5,3,FALSE)</f>
        <v>#N/A</v>
      </c>
      <c r="N983" t="e">
        <f t="shared" si="30"/>
        <v>#N/A</v>
      </c>
      <c r="O983" t="e">
        <f t="shared" si="31"/>
        <v>#N/A</v>
      </c>
      <c r="P983" t="str">
        <f>IF(AND(F983="Nağd",G983&gt;5),M983*0.9,"0%")</f>
        <v>0%</v>
      </c>
      <c r="Q983" s="9" t="str">
        <f>IF(F983="Kredit",EOMONTH(B983,0),"")</f>
        <v/>
      </c>
      <c r="R983" s="17" t="str">
        <f>TEXT(B983,"dddd")</f>
        <v>Saturday</v>
      </c>
    </row>
    <row r="984" spans="5:18">
      <c r="E984" s="6" t="s">
        <v>983</v>
      </c>
      <c r="F984" s="6" t="s">
        <v>983</v>
      </c>
      <c r="K984" t="e">
        <f>LEFT(C984,FIND(" ",C984)-1)&amp;"-"&amp;E984&amp;" "&amp;"Filialina çardırılma"</f>
        <v>#VALUE!</v>
      </c>
      <c r="L984" t="e">
        <f>VLOOKUP(D984,Anbar!$A$2:$B$5,2,FALSE)</f>
        <v>#N/A</v>
      </c>
      <c r="M984" t="e">
        <f>VLOOKUP(D984,Anbar!$A$2:$C$5,3,FALSE)</f>
        <v>#N/A</v>
      </c>
      <c r="N984" t="e">
        <f t="shared" si="30"/>
        <v>#N/A</v>
      </c>
      <c r="O984" t="e">
        <f t="shared" si="31"/>
        <v>#N/A</v>
      </c>
      <c r="P984" t="str">
        <f>IF(AND(F984="Nağd",G984&gt;5),M984*0.9,"0%")</f>
        <v>0%</v>
      </c>
      <c r="Q984" s="9" t="str">
        <f>IF(F984="Kredit",EOMONTH(B984,0),"")</f>
        <v/>
      </c>
      <c r="R984" s="17" t="str">
        <f>TEXT(B984,"dddd")</f>
        <v>Saturday</v>
      </c>
    </row>
    <row r="985" spans="5:18">
      <c r="E985" s="6" t="s">
        <v>983</v>
      </c>
      <c r="F985" s="6" t="s">
        <v>983</v>
      </c>
      <c r="K985" t="e">
        <f>LEFT(C985,FIND(" ",C985)-1)&amp;"-"&amp;E985&amp;" "&amp;"Filialina çardırılma"</f>
        <v>#VALUE!</v>
      </c>
      <c r="L985" t="e">
        <f>VLOOKUP(D985,Anbar!$A$2:$B$5,2,FALSE)</f>
        <v>#N/A</v>
      </c>
      <c r="M985" t="e">
        <f>VLOOKUP(D985,Anbar!$A$2:$C$5,3,FALSE)</f>
        <v>#N/A</v>
      </c>
      <c r="N985" t="e">
        <f t="shared" si="30"/>
        <v>#N/A</v>
      </c>
      <c r="O985" t="e">
        <f t="shared" si="31"/>
        <v>#N/A</v>
      </c>
      <c r="P985" t="str">
        <f>IF(AND(F985="Nağd",G985&gt;5),M985*0.9,"0%")</f>
        <v>0%</v>
      </c>
      <c r="Q985" s="9" t="str">
        <f>IF(F985="Kredit",EOMONTH(B985,0),"")</f>
        <v/>
      </c>
      <c r="R985" s="17" t="str">
        <f>TEXT(B985,"dddd")</f>
        <v>Saturday</v>
      </c>
    </row>
    <row r="986" spans="5:18">
      <c r="E986" s="6" t="s">
        <v>983</v>
      </c>
      <c r="F986" s="6" t="s">
        <v>983</v>
      </c>
      <c r="K986" t="e">
        <f>LEFT(C986,FIND(" ",C986)-1)&amp;"-"&amp;E986&amp;" "&amp;"Filialina çardırılma"</f>
        <v>#VALUE!</v>
      </c>
      <c r="L986" t="e">
        <f>VLOOKUP(D986,Anbar!$A$2:$B$5,2,FALSE)</f>
        <v>#N/A</v>
      </c>
      <c r="M986" t="e">
        <f>VLOOKUP(D986,Anbar!$A$2:$C$5,3,FALSE)</f>
        <v>#N/A</v>
      </c>
      <c r="N986" t="e">
        <f t="shared" si="30"/>
        <v>#N/A</v>
      </c>
      <c r="O986" t="e">
        <f t="shared" si="31"/>
        <v>#N/A</v>
      </c>
      <c r="P986" t="str">
        <f>IF(AND(F986="Nağd",G986&gt;5),M986*0.9,"0%")</f>
        <v>0%</v>
      </c>
      <c r="Q986" s="9" t="str">
        <f>IF(F986="Kredit",EOMONTH(B986,0),"")</f>
        <v/>
      </c>
      <c r="R986" s="17" t="str">
        <f>TEXT(B986,"dddd")</f>
        <v>Saturday</v>
      </c>
    </row>
    <row r="987" spans="5:18">
      <c r="E987" s="6" t="s">
        <v>983</v>
      </c>
      <c r="F987" s="6" t="s">
        <v>983</v>
      </c>
      <c r="K987" t="e">
        <f>LEFT(C987,FIND(" ",C987)-1)&amp;"-"&amp;E987&amp;" "&amp;"Filialina çardırılma"</f>
        <v>#VALUE!</v>
      </c>
      <c r="L987" t="e">
        <f>VLOOKUP(D987,Anbar!$A$2:$B$5,2,FALSE)</f>
        <v>#N/A</v>
      </c>
      <c r="M987" t="e">
        <f>VLOOKUP(D987,Anbar!$A$2:$C$5,3,FALSE)</f>
        <v>#N/A</v>
      </c>
      <c r="N987" t="e">
        <f t="shared" si="30"/>
        <v>#N/A</v>
      </c>
      <c r="O987" t="e">
        <f t="shared" si="31"/>
        <v>#N/A</v>
      </c>
      <c r="P987" t="str">
        <f>IF(AND(F987="Nağd",G987&gt;5),M987*0.9,"0%")</f>
        <v>0%</v>
      </c>
      <c r="Q987" s="9" t="str">
        <f>IF(F987="Kredit",EOMONTH(B987,0),"")</f>
        <v/>
      </c>
      <c r="R987" s="17" t="str">
        <f>TEXT(B987,"dddd")</f>
        <v>Saturday</v>
      </c>
    </row>
    <row r="988" spans="5:18">
      <c r="E988" s="6" t="s">
        <v>983</v>
      </c>
      <c r="F988" s="6" t="s">
        <v>983</v>
      </c>
      <c r="K988" t="e">
        <f>LEFT(C988,FIND(" ",C988)-1)&amp;"-"&amp;E988&amp;" "&amp;"Filialina çardırılma"</f>
        <v>#VALUE!</v>
      </c>
      <c r="L988" t="e">
        <f>VLOOKUP(D988,Anbar!$A$2:$B$5,2,FALSE)</f>
        <v>#N/A</v>
      </c>
      <c r="M988" t="e">
        <f>VLOOKUP(D988,Anbar!$A$2:$C$5,3,FALSE)</f>
        <v>#N/A</v>
      </c>
      <c r="N988" t="e">
        <f t="shared" si="30"/>
        <v>#N/A</v>
      </c>
      <c r="O988" t="e">
        <f t="shared" si="31"/>
        <v>#N/A</v>
      </c>
      <c r="P988" t="str">
        <f>IF(AND(F988="Nağd",G988&gt;5),M988*0.9,"0%")</f>
        <v>0%</v>
      </c>
      <c r="Q988" s="9" t="str">
        <f>IF(F988="Kredit",EOMONTH(B988,0),"")</f>
        <v/>
      </c>
      <c r="R988" s="17" t="str">
        <f>TEXT(B988,"dddd")</f>
        <v>Saturday</v>
      </c>
    </row>
    <row r="989" spans="5:18">
      <c r="E989" s="6" t="s">
        <v>983</v>
      </c>
      <c r="F989" s="6" t="s">
        <v>983</v>
      </c>
      <c r="K989" t="e">
        <f>LEFT(C989,FIND(" ",C989)-1)&amp;"-"&amp;E989&amp;" "&amp;"Filialina çardırılma"</f>
        <v>#VALUE!</v>
      </c>
      <c r="L989" t="e">
        <f>VLOOKUP(D989,Anbar!$A$2:$B$5,2,FALSE)</f>
        <v>#N/A</v>
      </c>
      <c r="M989" t="e">
        <f>VLOOKUP(D989,Anbar!$A$2:$C$5,3,FALSE)</f>
        <v>#N/A</v>
      </c>
      <c r="N989" t="e">
        <f t="shared" si="30"/>
        <v>#N/A</v>
      </c>
      <c r="O989" t="e">
        <f t="shared" si="31"/>
        <v>#N/A</v>
      </c>
      <c r="P989" t="str">
        <f>IF(AND(F989="Nağd",G989&gt;5),M989*0.9,"0%")</f>
        <v>0%</v>
      </c>
      <c r="Q989" s="9" t="str">
        <f>IF(F989="Kredit",EOMONTH(B989,0),"")</f>
        <v/>
      </c>
      <c r="R989" s="17" t="str">
        <f>TEXT(B989,"dddd")</f>
        <v>Saturday</v>
      </c>
    </row>
    <row r="990" spans="5:18">
      <c r="E990" s="6" t="s">
        <v>983</v>
      </c>
      <c r="F990" s="6" t="s">
        <v>983</v>
      </c>
      <c r="K990" t="e">
        <f>LEFT(C990,FIND(" ",C990)-1)&amp;"-"&amp;E990&amp;" "&amp;"Filialina çardırılma"</f>
        <v>#VALUE!</v>
      </c>
      <c r="L990" t="e">
        <f>VLOOKUP(D990,Anbar!$A$2:$B$5,2,FALSE)</f>
        <v>#N/A</v>
      </c>
      <c r="M990" t="e">
        <f>VLOOKUP(D990,Anbar!$A$2:$C$5,3,FALSE)</f>
        <v>#N/A</v>
      </c>
      <c r="N990" t="e">
        <f t="shared" si="30"/>
        <v>#N/A</v>
      </c>
      <c r="O990" t="e">
        <f t="shared" si="31"/>
        <v>#N/A</v>
      </c>
      <c r="P990" t="str">
        <f>IF(AND(F990="Nağd",G990&gt;5),M990*0.9,"0%")</f>
        <v>0%</v>
      </c>
      <c r="Q990" s="9" t="str">
        <f>IF(F990="Kredit",EOMONTH(B990,0),"")</f>
        <v/>
      </c>
      <c r="R990" s="17" t="str">
        <f>TEXT(B990,"dddd")</f>
        <v>Saturday</v>
      </c>
    </row>
    <row r="991" spans="5:18">
      <c r="E991" s="6" t="s">
        <v>983</v>
      </c>
      <c r="F991" s="6" t="s">
        <v>983</v>
      </c>
      <c r="K991" t="e">
        <f>LEFT(C991,FIND(" ",C991)-1)&amp;"-"&amp;E991&amp;" "&amp;"Filialina çardırılma"</f>
        <v>#VALUE!</v>
      </c>
      <c r="L991" t="e">
        <f>VLOOKUP(D991,Anbar!$A$2:$B$5,2,FALSE)</f>
        <v>#N/A</v>
      </c>
      <c r="M991" t="e">
        <f>VLOOKUP(D991,Anbar!$A$2:$C$5,3,FALSE)</f>
        <v>#N/A</v>
      </c>
      <c r="N991" t="e">
        <f t="shared" si="30"/>
        <v>#N/A</v>
      </c>
      <c r="O991" t="e">
        <f t="shared" si="31"/>
        <v>#N/A</v>
      </c>
      <c r="P991" t="str">
        <f>IF(AND(F991="Nağd",G991&gt;5),M991*0.9,"0%")</f>
        <v>0%</v>
      </c>
      <c r="Q991" s="9" t="str">
        <f>IF(F991="Kredit",EOMONTH(B991,0),"")</f>
        <v/>
      </c>
      <c r="R991" s="17" t="str">
        <f>TEXT(B991,"dddd")</f>
        <v>Saturday</v>
      </c>
    </row>
    <row r="992" spans="5:18">
      <c r="E992" s="6" t="s">
        <v>983</v>
      </c>
      <c r="F992" s="6" t="s">
        <v>983</v>
      </c>
      <c r="K992" t="e">
        <f>LEFT(C992,FIND(" ",C992)-1)&amp;"-"&amp;E992&amp;" "&amp;"Filialina çardırılma"</f>
        <v>#VALUE!</v>
      </c>
      <c r="L992" t="e">
        <f>VLOOKUP(D992,Anbar!$A$2:$B$5,2,FALSE)</f>
        <v>#N/A</v>
      </c>
      <c r="M992" t="e">
        <f>VLOOKUP(D992,Anbar!$A$2:$C$5,3,FALSE)</f>
        <v>#N/A</v>
      </c>
      <c r="N992" t="e">
        <f t="shared" si="30"/>
        <v>#N/A</v>
      </c>
      <c r="O992" t="e">
        <f t="shared" si="31"/>
        <v>#N/A</v>
      </c>
      <c r="P992" t="str">
        <f>IF(AND(F992="Nağd",G992&gt;5),M992*0.9,"0%")</f>
        <v>0%</v>
      </c>
      <c r="Q992" s="9" t="str">
        <f>IF(F992="Kredit",EOMONTH(B992,0),"")</f>
        <v/>
      </c>
      <c r="R992" s="17" t="str">
        <f>TEXT(B992,"dddd")</f>
        <v>Saturday</v>
      </c>
    </row>
    <row r="993" spans="5:18">
      <c r="E993" s="6" t="s">
        <v>983</v>
      </c>
      <c r="F993" s="6" t="s">
        <v>983</v>
      </c>
      <c r="K993" t="e">
        <f>LEFT(C993,FIND(" ",C993)-1)&amp;"-"&amp;E993&amp;" "&amp;"Filialina çardırılma"</f>
        <v>#VALUE!</v>
      </c>
      <c r="L993" t="e">
        <f>VLOOKUP(D993,Anbar!$A$2:$B$5,2,FALSE)</f>
        <v>#N/A</v>
      </c>
      <c r="M993" t="e">
        <f>VLOOKUP(D993,Anbar!$A$2:$C$5,3,FALSE)</f>
        <v>#N/A</v>
      </c>
      <c r="N993" t="e">
        <f t="shared" si="30"/>
        <v>#N/A</v>
      </c>
      <c r="O993" t="e">
        <f t="shared" si="31"/>
        <v>#N/A</v>
      </c>
      <c r="P993" t="str">
        <f>IF(AND(F993="Nağd",G993&gt;5),M993*0.9,"0%")</f>
        <v>0%</v>
      </c>
      <c r="Q993" s="9" t="str">
        <f>IF(F993="Kredit",EOMONTH(B993,0),"")</f>
        <v/>
      </c>
      <c r="R993" s="17" t="str">
        <f>TEXT(B993,"dddd")</f>
        <v>Saturday</v>
      </c>
    </row>
    <row r="994" spans="5:18">
      <c r="E994" s="6" t="s">
        <v>983</v>
      </c>
      <c r="F994" s="6" t="s">
        <v>983</v>
      </c>
      <c r="K994" t="e">
        <f>LEFT(C994,FIND(" ",C994)-1)&amp;"-"&amp;E994&amp;" "&amp;"Filialina çardırılma"</f>
        <v>#VALUE!</v>
      </c>
      <c r="L994" t="e">
        <f>VLOOKUP(D994,Anbar!$A$2:$B$5,2,FALSE)</f>
        <v>#N/A</v>
      </c>
      <c r="M994" t="e">
        <f>VLOOKUP(D994,Anbar!$A$2:$C$5,3,FALSE)</f>
        <v>#N/A</v>
      </c>
      <c r="N994" t="e">
        <f t="shared" si="30"/>
        <v>#N/A</v>
      </c>
      <c r="O994" t="e">
        <f t="shared" si="31"/>
        <v>#N/A</v>
      </c>
      <c r="P994" t="str">
        <f>IF(AND(F994="Nağd",G994&gt;5),M994*0.9,"0%")</f>
        <v>0%</v>
      </c>
      <c r="Q994" s="9" t="str">
        <f>IF(F994="Kredit",EOMONTH(B994,0),"")</f>
        <v/>
      </c>
      <c r="R994" s="17" t="str">
        <f>TEXT(B994,"dddd")</f>
        <v>Saturday</v>
      </c>
    </row>
    <row r="995" spans="5:18">
      <c r="E995" s="6" t="s">
        <v>983</v>
      </c>
      <c r="F995" s="6" t="s">
        <v>983</v>
      </c>
      <c r="K995" t="e">
        <f>LEFT(C995,FIND(" ",C995)-1)&amp;"-"&amp;E995&amp;" "&amp;"Filialina çardırılma"</f>
        <v>#VALUE!</v>
      </c>
      <c r="L995" t="e">
        <f>VLOOKUP(D995,Anbar!$A$2:$B$5,2,FALSE)</f>
        <v>#N/A</v>
      </c>
      <c r="M995" t="e">
        <f>VLOOKUP(D995,Anbar!$A$2:$C$5,3,FALSE)</f>
        <v>#N/A</v>
      </c>
      <c r="N995" t="e">
        <f t="shared" si="30"/>
        <v>#N/A</v>
      </c>
      <c r="O995" t="e">
        <f t="shared" si="31"/>
        <v>#N/A</v>
      </c>
      <c r="P995" t="str">
        <f>IF(AND(F995="Nağd",G995&gt;5),M995*0.9,"0%")</f>
        <v>0%</v>
      </c>
      <c r="Q995" s="9" t="str">
        <f>IF(F995="Kredit",EOMONTH(B995,0),"")</f>
        <v/>
      </c>
      <c r="R995" s="17" t="str">
        <f>TEXT(B995,"dddd")</f>
        <v>Saturday</v>
      </c>
    </row>
    <row r="996" spans="5:18">
      <c r="E996" s="6" t="s">
        <v>983</v>
      </c>
      <c r="F996" s="6" t="s">
        <v>983</v>
      </c>
      <c r="K996" t="e">
        <f>LEFT(C996,FIND(" ",C996)-1)&amp;"-"&amp;E996&amp;" "&amp;"Filialina çardırılma"</f>
        <v>#VALUE!</v>
      </c>
      <c r="L996" t="e">
        <f>VLOOKUP(D996,Anbar!$A$2:$B$5,2,FALSE)</f>
        <v>#N/A</v>
      </c>
      <c r="M996" t="e">
        <f>VLOOKUP(D996,Anbar!$A$2:$C$5,3,FALSE)</f>
        <v>#N/A</v>
      </c>
      <c r="N996" t="e">
        <f t="shared" si="30"/>
        <v>#N/A</v>
      </c>
      <c r="O996" t="e">
        <f t="shared" si="31"/>
        <v>#N/A</v>
      </c>
      <c r="P996" t="str">
        <f>IF(AND(F996="Nağd",G996&gt;5),M996*0.9,"0%")</f>
        <v>0%</v>
      </c>
      <c r="Q996" s="9" t="str">
        <f>IF(F996="Kredit",EOMONTH(B996,0),"")</f>
        <v/>
      </c>
      <c r="R996" s="17" t="str">
        <f>TEXT(B996,"dddd")</f>
        <v>Saturday</v>
      </c>
    </row>
    <row r="997" spans="5:18">
      <c r="E997" s="6" t="s">
        <v>983</v>
      </c>
      <c r="F997" s="6" t="s">
        <v>983</v>
      </c>
      <c r="K997" t="e">
        <f>LEFT(C997,FIND(" ",C997)-1)&amp;"-"&amp;E997&amp;" "&amp;"Filialina çardırılma"</f>
        <v>#VALUE!</v>
      </c>
      <c r="L997" t="e">
        <f>VLOOKUP(D997,Anbar!$A$2:$B$5,2,FALSE)</f>
        <v>#N/A</v>
      </c>
      <c r="M997" t="e">
        <f>VLOOKUP(D997,Anbar!$A$2:$C$5,3,FALSE)</f>
        <v>#N/A</v>
      </c>
      <c r="N997" t="e">
        <f t="shared" si="30"/>
        <v>#N/A</v>
      </c>
      <c r="O997" t="e">
        <f t="shared" si="31"/>
        <v>#N/A</v>
      </c>
      <c r="P997" t="str">
        <f>IF(AND(F997="Nağd",G997&gt;5),M997*0.9,"0%")</f>
        <v>0%</v>
      </c>
      <c r="Q997" s="9" t="str">
        <f>IF(F997="Kredit",EOMONTH(B997,0),"")</f>
        <v/>
      </c>
      <c r="R997" s="17" t="str">
        <f>TEXT(B997,"dddd")</f>
        <v>Saturday</v>
      </c>
    </row>
    <row r="998" spans="5:18">
      <c r="E998" s="6" t="s">
        <v>983</v>
      </c>
      <c r="F998" s="6" t="s">
        <v>983</v>
      </c>
      <c r="K998" t="e">
        <f>LEFT(C998,FIND(" ",C998)-1)&amp;"-"&amp;E998&amp;" "&amp;"Filialina çardırılma"</f>
        <v>#VALUE!</v>
      </c>
      <c r="L998" t="e">
        <f>VLOOKUP(D998,Anbar!$A$2:$B$5,2,FALSE)</f>
        <v>#N/A</v>
      </c>
      <c r="M998" t="e">
        <f>VLOOKUP(D998,Anbar!$A$2:$C$5,3,FALSE)</f>
        <v>#N/A</v>
      </c>
      <c r="N998" t="e">
        <f t="shared" si="30"/>
        <v>#N/A</v>
      </c>
      <c r="O998" t="e">
        <f t="shared" si="31"/>
        <v>#N/A</v>
      </c>
      <c r="P998" t="str">
        <f>IF(AND(F998="Nağd",G998&gt;5),M998*0.9,"0%")</f>
        <v>0%</v>
      </c>
      <c r="Q998" s="9" t="str">
        <f>IF(F998="Kredit",EOMONTH(B998,0),"")</f>
        <v/>
      </c>
      <c r="R998" s="17" t="str">
        <f>TEXT(B998,"dddd")</f>
        <v>Saturday</v>
      </c>
    </row>
    <row r="999" spans="5:18">
      <c r="E999" s="6" t="s">
        <v>983</v>
      </c>
      <c r="F999" s="6" t="s">
        <v>983</v>
      </c>
      <c r="K999" t="e">
        <f>LEFT(C999,FIND(" ",C999)-1)&amp;"-"&amp;E999&amp;" "&amp;"Filialina çardırılma"</f>
        <v>#VALUE!</v>
      </c>
      <c r="L999" t="e">
        <f>VLOOKUP(D999,Anbar!$A$2:$B$5,2,FALSE)</f>
        <v>#N/A</v>
      </c>
      <c r="M999" t="e">
        <f>VLOOKUP(D999,Anbar!$A$2:$C$5,3,FALSE)</f>
        <v>#N/A</v>
      </c>
      <c r="N999" t="e">
        <f t="shared" si="30"/>
        <v>#N/A</v>
      </c>
      <c r="O999" t="e">
        <f t="shared" si="31"/>
        <v>#N/A</v>
      </c>
      <c r="P999" t="str">
        <f>IF(AND(F999="Nağd",G999&gt;5),M999*0.9,"0%")</f>
        <v>0%</v>
      </c>
      <c r="Q999" s="9" t="str">
        <f>IF(F999="Kredit",EOMONTH(B999,0),"")</f>
        <v/>
      </c>
      <c r="R999" s="17" t="str">
        <f>TEXT(B999,"dddd")</f>
        <v>Saturday</v>
      </c>
    </row>
    <row r="1000" spans="5:18">
      <c r="E1000" s="6" t="s">
        <v>983</v>
      </c>
      <c r="F1000" s="6" t="s">
        <v>983</v>
      </c>
      <c r="K1000" t="e">
        <f>LEFT(C1000,FIND(" ",C1000)-1)&amp;"-"&amp;E1000&amp;" "&amp;"Filialina çardırılma"</f>
        <v>#VALUE!</v>
      </c>
      <c r="L1000" t="e">
        <f>VLOOKUP(D1000,Anbar!$A$2:$B$5,2,FALSE)</f>
        <v>#N/A</v>
      </c>
      <c r="M1000" t="e">
        <f>VLOOKUP(D1000,Anbar!$A$2:$C$5,3,FALSE)</f>
        <v>#N/A</v>
      </c>
      <c r="N1000" t="e">
        <f t="shared" si="30"/>
        <v>#N/A</v>
      </c>
      <c r="O1000" t="e">
        <f t="shared" si="31"/>
        <v>#N/A</v>
      </c>
      <c r="P1000" t="str">
        <f>IF(AND(F1000="Nağd",G1000&gt;5),M1000*0.9,"0%")</f>
        <v>0%</v>
      </c>
      <c r="Q1000" s="9" t="str">
        <f>IF(F1000="Kredit",EOMONTH(B1000,0),"")</f>
        <v/>
      </c>
      <c r="R1000" s="17" t="str">
        <f>TEXT(B1000,"dddd")</f>
        <v>Saturday</v>
      </c>
    </row>
    <row r="1001" spans="5:18">
      <c r="E1001" s="6" t="s">
        <v>983</v>
      </c>
      <c r="F1001" s="6" t="s">
        <v>983</v>
      </c>
      <c r="K1001" t="e">
        <f>LEFT(C1001,FIND(" ",C1001)-1)&amp;"-"&amp;E1001&amp;" "&amp;"Filialina çardırılma"</f>
        <v>#VALUE!</v>
      </c>
      <c r="L1001" t="e">
        <f>VLOOKUP(D1001,Anbar!$A$2:$B$5,2,FALSE)</f>
        <v>#N/A</v>
      </c>
      <c r="M1001" t="e">
        <f>VLOOKUP(D1001,Anbar!$A$2:$C$5,3,FALSE)</f>
        <v>#N/A</v>
      </c>
      <c r="N1001" t="e">
        <f t="shared" si="30"/>
        <v>#N/A</v>
      </c>
      <c r="O1001" t="e">
        <f t="shared" si="31"/>
        <v>#N/A</v>
      </c>
      <c r="P1001" t="str">
        <f>IF(AND(F1001="Nağd",G1001&gt;5),M1001*0.9,"0%")</f>
        <v>0%</v>
      </c>
      <c r="Q1001" s="9" t="str">
        <f>IF(F1001="Kredit",EOMONTH(B1001,0),"")</f>
        <v/>
      </c>
      <c r="R1001" s="17" t="str">
        <f>TEXT(B1001,"dddd")</f>
        <v>Saturday</v>
      </c>
    </row>
    <row r="1002" spans="5:18">
      <c r="E1002" s="6" t="s">
        <v>983</v>
      </c>
      <c r="F1002" s="6" t="s">
        <v>983</v>
      </c>
      <c r="K1002" t="e">
        <f>LEFT(C1002,FIND(" ",C1002)-1)&amp;"-"&amp;E1002&amp;" "&amp;"Filialina çardırılma"</f>
        <v>#VALUE!</v>
      </c>
      <c r="L1002" t="e">
        <f>VLOOKUP(D1002,Anbar!$A$2:$B$5,2,FALSE)</f>
        <v>#N/A</v>
      </c>
      <c r="M1002" t="e">
        <f>VLOOKUP(D1002,Anbar!$A$2:$C$5,3,FALSE)</f>
        <v>#N/A</v>
      </c>
      <c r="N1002" t="e">
        <f t="shared" si="30"/>
        <v>#N/A</v>
      </c>
      <c r="O1002" t="e">
        <f t="shared" si="31"/>
        <v>#N/A</v>
      </c>
      <c r="P1002" t="str">
        <f>IF(AND(F1002="Nağd",G1002&gt;5),M1002*0.9,"0%")</f>
        <v>0%</v>
      </c>
      <c r="Q1002" s="9" t="str">
        <f>IF(F1002="Kredit",EOMONTH(B1002,0),"")</f>
        <v/>
      </c>
      <c r="R1002" s="17" t="str">
        <f>TEXT(B1002,"dddd")</f>
        <v>Saturday</v>
      </c>
    </row>
  </sheetData>
  <autoFilter ref="A1:I1001" xr:uid="{FF47A74D-D2D7-4489-A1F5-50FEB98BBDB3}"/>
  <conditionalFormatting sqref="G2:G951">
    <cfRule type="cellIs" dxfId="1" priority="2" operator="greaterThan">
      <formula>8</formula>
    </cfRule>
    <cfRule type="expression" dxfId="0" priority="3">
      <formula>"&gt;8"</formula>
    </cfRule>
  </conditionalFormatting>
  <conditionalFormatting sqref="O2:O1002">
    <cfRule type="dataBar" priority="1">
      <dataBar>
        <cfvo type="min"/>
        <cfvo type="max"/>
        <color rgb="FF638EC6"/>
      </dataBar>
      <extLst>
        <ext xmlns:x14="http://schemas.microsoft.com/office/spreadsheetml/2009/9/main" uri="{B025F937-C7B1-47D3-B67F-A62EFF666E3E}">
          <x14:id>{F641457A-16BB-2844-83C7-8E07B2C3BAE9}</x14:id>
        </ext>
      </extLst>
    </cfRule>
  </conditionalFormatting>
  <dataValidations count="1">
    <dataValidation type="list" allowBlank="1" showInputMessage="1" showErrorMessage="1" sqref="F1:F1048576" xr:uid="{561158E3-AE7D-D942-852B-6F40AD82C826}">
      <mc:AlternateContent xmlns:x12ac="http://schemas.microsoft.com/office/spreadsheetml/2011/1/ac" xmlns:mc="http://schemas.openxmlformats.org/markup-compatibility/2006">
        <mc:Choice Requires="x12ac">
          <x12ac:list>"Nağd,Kredit,Kartla,Naməlum"</x12ac:list>
        </mc:Choice>
        <mc:Fallback>
          <formula1>"Nağd,Kredit,Kartla,Naməlum"</formula1>
        </mc:Fallback>
      </mc:AlternateContent>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F641457A-16BB-2844-83C7-8E07B2C3BAE9}">
            <x14:dataBar minLength="0" maxLength="100" gradient="0" direction="leftToRight">
              <x14:cfvo type="min"/>
              <x14:cfvo type="max"/>
              <x14:negativeFillColor rgb="FFFF0000"/>
              <x14:axisColor rgb="FF000000"/>
            </x14:dataBar>
          </x14:cfRule>
          <xm:sqref>O2:O1002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70125-F1BB-430C-BA0C-C90DD5A535F0}">
  <sheetPr codeName="Sheet2"/>
  <dimension ref="A1:C5"/>
  <sheetViews>
    <sheetView zoomScale="110" zoomScaleNormal="110" workbookViewId="0">
      <selection activeCell="B5" sqref="B5"/>
    </sheetView>
  </sheetViews>
  <sheetFormatPr baseColWidth="10" defaultColWidth="8.83203125" defaultRowHeight="15"/>
  <cols>
    <col min="1" max="1" width="18" bestFit="1" customWidth="1"/>
    <col min="2" max="2" width="16.5" bestFit="1" customWidth="1"/>
    <col min="3" max="3" width="17.1640625" bestFit="1" customWidth="1"/>
  </cols>
  <sheetData>
    <row r="1" spans="1:3" ht="16" thickBot="1">
      <c r="A1" s="1" t="s">
        <v>960</v>
      </c>
      <c r="B1" s="1" t="s">
        <v>969</v>
      </c>
      <c r="C1" s="1" t="s">
        <v>970</v>
      </c>
    </row>
    <row r="2" spans="1:3" ht="16" thickBot="1">
      <c r="A2" s="2" t="s">
        <v>15</v>
      </c>
      <c r="B2" s="2">
        <v>600</v>
      </c>
      <c r="C2" s="2">
        <v>950</v>
      </c>
    </row>
    <row r="3" spans="1:3" ht="16" thickBot="1">
      <c r="A3" s="2" t="s">
        <v>971</v>
      </c>
      <c r="B3" s="2">
        <v>1200</v>
      </c>
      <c r="C3" s="2">
        <v>1800</v>
      </c>
    </row>
    <row r="4" spans="1:3" ht="16" thickBot="1">
      <c r="A4" s="2" t="s">
        <v>20</v>
      </c>
      <c r="B4" s="2">
        <v>15</v>
      </c>
      <c r="C4" s="2">
        <v>45</v>
      </c>
    </row>
    <row r="5" spans="1:3" ht="16" thickBot="1">
      <c r="A5" s="2" t="s">
        <v>968</v>
      </c>
      <c r="B5" s="2">
        <v>400</v>
      </c>
      <c r="C5" s="2">
        <v>650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B4AB2-DF6E-7441-A872-724FAFD288CC}">
  <dimension ref="A3:F51"/>
  <sheetViews>
    <sheetView tabSelected="1" topLeftCell="A4" workbookViewId="0">
      <selection activeCell="A42" sqref="A42"/>
    </sheetView>
  </sheetViews>
  <sheetFormatPr baseColWidth="10" defaultRowHeight="15"/>
  <cols>
    <col min="1" max="1" width="16.6640625" bestFit="1" customWidth="1"/>
    <col min="2" max="2" width="17.6640625" bestFit="1" customWidth="1"/>
    <col min="3" max="3" width="21" bestFit="1" customWidth="1"/>
    <col min="4" max="4" width="8.1640625" bestFit="1" customWidth="1"/>
    <col min="5" max="5" width="8.6640625" bestFit="1" customWidth="1"/>
    <col min="6" max="6" width="10" bestFit="1" customWidth="1"/>
  </cols>
  <sheetData>
    <row r="3" spans="1:6">
      <c r="A3" s="20" t="s">
        <v>1949</v>
      </c>
      <c r="B3" s="20" t="s">
        <v>1948</v>
      </c>
    </row>
    <row r="4" spans="1:6">
      <c r="A4" s="20" t="s">
        <v>1946</v>
      </c>
      <c r="B4" t="s">
        <v>7</v>
      </c>
      <c r="C4" t="s">
        <v>4</v>
      </c>
      <c r="D4" t="s">
        <v>965</v>
      </c>
      <c r="E4" t="s">
        <v>983</v>
      </c>
      <c r="F4" t="s">
        <v>1947</v>
      </c>
    </row>
    <row r="5" spans="1:6">
      <c r="A5" s="21" t="s">
        <v>966</v>
      </c>
      <c r="B5" s="17">
        <v>247330</v>
      </c>
      <c r="C5" s="17">
        <v>565625</v>
      </c>
      <c r="D5" s="17">
        <v>640545</v>
      </c>
      <c r="E5" s="17">
        <v>7140</v>
      </c>
      <c r="F5" s="17">
        <v>1460640</v>
      </c>
    </row>
    <row r="6" spans="1:6">
      <c r="A6" s="21" t="s">
        <v>9</v>
      </c>
      <c r="B6" s="17">
        <v>227200</v>
      </c>
      <c r="C6" s="17">
        <v>334455</v>
      </c>
      <c r="D6" s="17">
        <v>208780</v>
      </c>
      <c r="E6" s="17"/>
      <c r="F6" s="17">
        <v>770435</v>
      </c>
    </row>
    <row r="7" spans="1:6">
      <c r="A7" s="21" t="s">
        <v>981</v>
      </c>
      <c r="B7" s="17">
        <v>133805</v>
      </c>
      <c r="C7" s="17">
        <v>289005</v>
      </c>
      <c r="D7" s="17">
        <v>267940</v>
      </c>
      <c r="E7" s="17">
        <v>34225</v>
      </c>
      <c r="F7" s="17">
        <v>724975</v>
      </c>
    </row>
    <row r="8" spans="1:6">
      <c r="A8" s="21" t="s">
        <v>983</v>
      </c>
      <c r="B8" s="17">
        <v>30375</v>
      </c>
      <c r="C8" s="17">
        <v>43665</v>
      </c>
      <c r="D8" s="17">
        <v>37370</v>
      </c>
      <c r="E8" s="17">
        <v>8150</v>
      </c>
      <c r="F8" s="17">
        <v>119560</v>
      </c>
    </row>
    <row r="9" spans="1:6">
      <c r="A9" s="21" t="s">
        <v>980</v>
      </c>
      <c r="B9" s="17">
        <v>247195</v>
      </c>
      <c r="C9" s="17">
        <v>563935</v>
      </c>
      <c r="D9" s="17">
        <v>640685</v>
      </c>
      <c r="E9" s="17">
        <v>15855</v>
      </c>
      <c r="F9" s="17">
        <v>1467670</v>
      </c>
    </row>
    <row r="10" spans="1:6">
      <c r="A10" s="21" t="s">
        <v>1947</v>
      </c>
      <c r="B10" s="17">
        <v>885905</v>
      </c>
      <c r="C10" s="17">
        <v>1796685</v>
      </c>
      <c r="D10" s="17">
        <v>1795320</v>
      </c>
      <c r="E10" s="17">
        <v>65370</v>
      </c>
      <c r="F10" s="17">
        <v>4543280</v>
      </c>
    </row>
    <row r="16" spans="1:6">
      <c r="A16" s="20" t="s">
        <v>1946</v>
      </c>
      <c r="B16" t="s">
        <v>1950</v>
      </c>
    </row>
    <row r="17" spans="1:3">
      <c r="A17" s="21" t="s">
        <v>20</v>
      </c>
      <c r="B17" s="17">
        <v>46920</v>
      </c>
    </row>
    <row r="18" spans="1:3">
      <c r="A18" s="21" t="s">
        <v>971</v>
      </c>
      <c r="B18" s="17">
        <v>862800</v>
      </c>
    </row>
    <row r="19" spans="1:3">
      <c r="A19" s="21" t="s">
        <v>968</v>
      </c>
      <c r="B19" s="17">
        <v>180750</v>
      </c>
    </row>
    <row r="20" spans="1:3">
      <c r="A20" s="21" t="s">
        <v>15</v>
      </c>
      <c r="B20" s="17">
        <v>521150</v>
      </c>
    </row>
    <row r="21" spans="1:3">
      <c r="A21" s="21" t="s">
        <v>1947</v>
      </c>
      <c r="B21" s="17">
        <v>1611620</v>
      </c>
    </row>
    <row r="26" spans="1:3">
      <c r="A26" s="21"/>
      <c r="B26" s="17"/>
    </row>
    <row r="27" spans="1:3">
      <c r="A27" s="21"/>
      <c r="B27" s="17"/>
    </row>
    <row r="28" spans="1:3">
      <c r="A28" s="20" t="s">
        <v>1946</v>
      </c>
      <c r="B28" t="s">
        <v>1957</v>
      </c>
      <c r="C28" t="s">
        <v>1958</v>
      </c>
    </row>
    <row r="29" spans="1:3">
      <c r="A29" s="21" t="s">
        <v>1951</v>
      </c>
      <c r="B29" s="17">
        <v>762</v>
      </c>
      <c r="C29" s="17">
        <v>5.1486486486486482</v>
      </c>
    </row>
    <row r="30" spans="1:3">
      <c r="A30" s="21" t="s">
        <v>1952</v>
      </c>
      <c r="B30" s="17">
        <v>1006</v>
      </c>
      <c r="C30" s="17">
        <v>5.6516853932584272</v>
      </c>
    </row>
    <row r="31" spans="1:3">
      <c r="A31" s="21" t="s">
        <v>1953</v>
      </c>
      <c r="B31" s="17">
        <v>1062</v>
      </c>
      <c r="C31" s="17">
        <v>5.5602094240837694</v>
      </c>
    </row>
    <row r="32" spans="1:3">
      <c r="A32" s="21" t="s">
        <v>1954</v>
      </c>
      <c r="B32" s="17">
        <v>1101</v>
      </c>
      <c r="C32" s="17">
        <v>5.5888324873096451</v>
      </c>
    </row>
    <row r="33" spans="1:3">
      <c r="A33" s="21" t="s">
        <v>1955</v>
      </c>
      <c r="B33" s="17">
        <v>1095</v>
      </c>
      <c r="C33" s="17">
        <v>5.5025125628140703</v>
      </c>
    </row>
    <row r="34" spans="1:3">
      <c r="A34" s="21" t="s">
        <v>1956</v>
      </c>
      <c r="B34" s="17">
        <v>188</v>
      </c>
      <c r="C34" s="17">
        <v>5.0810810810810807</v>
      </c>
    </row>
    <row r="35" spans="1:3">
      <c r="A35" s="21" t="s">
        <v>1947</v>
      </c>
      <c r="B35" s="17">
        <v>5214</v>
      </c>
      <c r="C35" s="17">
        <v>5.4884210526315789</v>
      </c>
    </row>
    <row r="41" spans="1:3" ht="23">
      <c r="A41" s="22"/>
    </row>
    <row r="42" spans="1:3">
      <c r="A42" s="20" t="s">
        <v>1946</v>
      </c>
      <c r="B42" t="s">
        <v>1950</v>
      </c>
    </row>
    <row r="43" spans="1:3">
      <c r="A43" s="21" t="s">
        <v>977</v>
      </c>
      <c r="B43" s="17">
        <v>243290</v>
      </c>
    </row>
    <row r="44" spans="1:3">
      <c r="A44" s="21" t="s">
        <v>967</v>
      </c>
      <c r="B44" s="17">
        <v>223590</v>
      </c>
    </row>
    <row r="45" spans="1:3">
      <c r="A45" s="21" t="s">
        <v>976</v>
      </c>
      <c r="B45" s="17">
        <v>205140</v>
      </c>
    </row>
    <row r="46" spans="1:3">
      <c r="A46" s="21" t="s">
        <v>979</v>
      </c>
      <c r="B46" s="17">
        <v>201130</v>
      </c>
    </row>
    <row r="47" spans="1:3">
      <c r="A47" s="21" t="s">
        <v>978</v>
      </c>
      <c r="B47" s="17">
        <v>194140</v>
      </c>
    </row>
    <row r="48" spans="1:3">
      <c r="A48" s="21" t="s">
        <v>974</v>
      </c>
      <c r="B48" s="17">
        <v>189230</v>
      </c>
    </row>
    <row r="49" spans="1:2">
      <c r="A49" s="21" t="s">
        <v>975</v>
      </c>
      <c r="B49" s="17">
        <v>180770</v>
      </c>
    </row>
    <row r="50" spans="1:2">
      <c r="A50" s="21" t="s">
        <v>6</v>
      </c>
      <c r="B50" s="17">
        <v>174330</v>
      </c>
    </row>
    <row r="51" spans="1:2">
      <c r="A51" s="21" t="s">
        <v>1947</v>
      </c>
      <c r="B51" s="17">
        <v>1611620</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Anbar</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Ayan Mammadzade</dc:creator>
  <cp:lastModifiedBy>Microsoft Office User</cp:lastModifiedBy>
  <dcterms:created xsi:type="dcterms:W3CDTF">2026-06-06T19:48:45Z</dcterms:created>
  <dcterms:modified xsi:type="dcterms:W3CDTF">2026-09-21T16:38:57Z</dcterms:modified>
</cp:coreProperties>
</file>